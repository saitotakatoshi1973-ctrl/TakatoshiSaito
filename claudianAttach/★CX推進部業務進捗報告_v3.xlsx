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mc:AlternateContent xmlns:mc="http://schemas.openxmlformats.org/markup-compatibility/2006">
    <mc:Choice Requires="x15">
      <x15ac:absPath xmlns:x15ac="http://schemas.microsoft.com/office/spreadsheetml/2010/11/ac" url="https://kyorindo365.sharepoint.com/sites/msteams_bc513a/Shared Documents/一般/"/>
    </mc:Choice>
  </mc:AlternateContent>
  <xr:revisionPtr revIDLastSave="0" documentId="8_{FAEFB795-81F6-45DD-9883-E3FB8F652D5A}" xr6:coauthVersionLast="47" xr6:coauthVersionMax="47" xr10:uidLastSave="{00000000-0000-0000-0000-000000000000}"/>
  <bookViews>
    <workbookView xWindow="-120" yWindow="-120" windowWidth="29040" windowHeight="15720" tabRatio="500" firstSheet="1" activeTab="1" xr2:uid="{00000000-000D-0000-FFFF-FFFF00000000}"/>
  </bookViews>
  <sheets>
    <sheet name="CX進捗0403" sheetId="5" r:id="rId1"/>
    <sheet name="CX進捗0330" sheetId="4" r:id="rId2"/>
    <sheet name="CX進捗0323" sheetId="1" r:id="rId3"/>
    <sheet name="CX進捗0316" sheetId="3" r:id="rId4"/>
  </sheets>
  <definedNames>
    <definedName name="_xlnm._FilterDatabase" localSheetId="3" hidden="1">CX進捗0316!$A$1:$N$44</definedName>
    <definedName name="_xlnm._FilterDatabase" localSheetId="2" hidden="1">CX進捗0323!$A$1:$O$46</definedName>
    <definedName name="_xlnm._FilterDatabase" localSheetId="1" hidden="1">CX進捗0330!$A$1:$O$47</definedName>
    <definedName name="_xlnm._FilterDatabase" localSheetId="0" hidden="1">CX進捗0403!$A$1:$O$48</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42" i="5" l="1"/>
  <c r="L61" i="5"/>
  <c r="K61" i="5"/>
  <c r="J61" i="5"/>
  <c r="I61" i="5"/>
  <c r="H61" i="5"/>
  <c r="F61" i="5"/>
  <c r="E61" i="5"/>
  <c r="D61" i="5"/>
  <c r="L60" i="5"/>
  <c r="K60" i="5"/>
  <c r="J60" i="5"/>
  <c r="I60" i="5"/>
  <c r="H60" i="5"/>
  <c r="F60" i="5"/>
  <c r="E60" i="5"/>
  <c r="D60" i="5"/>
  <c r="L59" i="5"/>
  <c r="K59" i="5"/>
  <c r="J59" i="5"/>
  <c r="I59" i="5"/>
  <c r="H59" i="5"/>
  <c r="F59" i="5"/>
  <c r="E59" i="5"/>
  <c r="D59" i="5"/>
  <c r="L58" i="5"/>
  <c r="K58" i="5"/>
  <c r="J58" i="5"/>
  <c r="I58" i="5"/>
  <c r="H58" i="5"/>
  <c r="F58" i="5"/>
  <c r="E58" i="5"/>
  <c r="D58" i="5"/>
  <c r="L57" i="5"/>
  <c r="K57" i="5"/>
  <c r="J57" i="5"/>
  <c r="I57" i="5"/>
  <c r="H57" i="5"/>
  <c r="F57" i="5"/>
  <c r="E57" i="5"/>
  <c r="D57" i="5"/>
  <c r="L56" i="5"/>
  <c r="K56" i="5"/>
  <c r="J56" i="5"/>
  <c r="I56" i="5"/>
  <c r="H56" i="5"/>
  <c r="F56" i="5"/>
  <c r="E56" i="5"/>
  <c r="D56" i="5"/>
  <c r="A48" i="5"/>
  <c r="A47" i="5"/>
  <c r="A46" i="5"/>
  <c r="A45" i="5"/>
  <c r="A44" i="5"/>
  <c r="A41" i="5"/>
  <c r="A40" i="5"/>
  <c r="A39" i="5"/>
  <c r="A38" i="5"/>
  <c r="A37" i="5"/>
  <c r="A36" i="5"/>
  <c r="A35" i="5"/>
  <c r="A34" i="5"/>
  <c r="A33" i="5"/>
  <c r="A32" i="5"/>
  <c r="A31" i="5"/>
  <c r="A30" i="5"/>
  <c r="A29" i="5"/>
  <c r="A28" i="5"/>
  <c r="A27" i="5"/>
  <c r="A26" i="5"/>
  <c r="A25" i="5"/>
  <c r="A24" i="5"/>
  <c r="A23" i="5"/>
  <c r="A22" i="5"/>
  <c r="A21" i="5"/>
  <c r="A20" i="5"/>
  <c r="A19" i="5"/>
  <c r="A18" i="5"/>
  <c r="A17" i="5"/>
  <c r="A16" i="5"/>
  <c r="A15" i="5"/>
  <c r="A14" i="5"/>
  <c r="A13" i="5"/>
  <c r="A12" i="5"/>
  <c r="A11" i="5"/>
  <c r="A10" i="5"/>
  <c r="A9" i="5"/>
  <c r="A8" i="5"/>
  <c r="A7" i="5"/>
  <c r="A6" i="5"/>
  <c r="A5" i="5"/>
  <c r="A4" i="5"/>
  <c r="A3" i="5"/>
  <c r="A2" i="5"/>
  <c r="A39" i="4"/>
  <c r="L60" i="4"/>
  <c r="K60" i="4"/>
  <c r="J60" i="4"/>
  <c r="I60" i="4"/>
  <c r="H60" i="4"/>
  <c r="F60" i="4"/>
  <c r="E60" i="4"/>
  <c r="D60" i="4"/>
  <c r="L59" i="4"/>
  <c r="K59" i="4"/>
  <c r="J59" i="4"/>
  <c r="I59" i="4"/>
  <c r="H59" i="4"/>
  <c r="F59" i="4"/>
  <c r="E59" i="4"/>
  <c r="D59" i="4"/>
  <c r="L58" i="4"/>
  <c r="K58" i="4"/>
  <c r="J58" i="4"/>
  <c r="I58" i="4"/>
  <c r="H58" i="4"/>
  <c r="F58" i="4"/>
  <c r="E58" i="4"/>
  <c r="D58" i="4"/>
  <c r="L57" i="4"/>
  <c r="K57" i="4"/>
  <c r="J57" i="4"/>
  <c r="I57" i="4"/>
  <c r="H57" i="4"/>
  <c r="F57" i="4"/>
  <c r="E57" i="4"/>
  <c r="D57" i="4"/>
  <c r="L56" i="4"/>
  <c r="K56" i="4"/>
  <c r="J56" i="4"/>
  <c r="I56" i="4"/>
  <c r="H56" i="4"/>
  <c r="F56" i="4"/>
  <c r="E56" i="4"/>
  <c r="D56" i="4"/>
  <c r="L55" i="4"/>
  <c r="K55" i="4"/>
  <c r="K61" i="4" s="1"/>
  <c r="J55" i="4"/>
  <c r="J61" i="4" s="1"/>
  <c r="I55" i="4"/>
  <c r="H55" i="4"/>
  <c r="F55" i="4"/>
  <c r="E55" i="4"/>
  <c r="D55" i="4"/>
  <c r="A47" i="4"/>
  <c r="A46" i="4"/>
  <c r="A45" i="4"/>
  <c r="A44" i="4"/>
  <c r="A43" i="4"/>
  <c r="A41" i="4"/>
  <c r="A40" i="4"/>
  <c r="A38" i="4"/>
  <c r="A37" i="4"/>
  <c r="A36" i="4"/>
  <c r="A35" i="4"/>
  <c r="A34" i="4"/>
  <c r="A33" i="4"/>
  <c r="A32" i="4"/>
  <c r="A31" i="4"/>
  <c r="A30" i="4"/>
  <c r="A29" i="4"/>
  <c r="A28" i="4"/>
  <c r="A27" i="4"/>
  <c r="A26" i="4"/>
  <c r="A25" i="4"/>
  <c r="A24" i="4"/>
  <c r="A23" i="4"/>
  <c r="A22" i="4"/>
  <c r="A21" i="4"/>
  <c r="A20" i="4"/>
  <c r="A19" i="4"/>
  <c r="A18" i="4"/>
  <c r="A17" i="4"/>
  <c r="A16" i="4"/>
  <c r="A15" i="4"/>
  <c r="A14" i="4"/>
  <c r="A13" i="4"/>
  <c r="A12" i="4"/>
  <c r="A11" i="4"/>
  <c r="A10" i="4"/>
  <c r="A9" i="4"/>
  <c r="A8" i="4"/>
  <c r="A7" i="4"/>
  <c r="A6" i="4"/>
  <c r="A5" i="4"/>
  <c r="A4" i="4"/>
  <c r="A3" i="4"/>
  <c r="A2" i="4"/>
  <c r="A46" i="1"/>
  <c r="A45" i="1"/>
  <c r="A44" i="1"/>
  <c r="A43" i="1"/>
  <c r="A42"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 r="A5" i="1"/>
  <c r="A4" i="1"/>
  <c r="A3" i="1"/>
  <c r="A2" i="1"/>
  <c r="L57" i="3"/>
  <c r="K57" i="3"/>
  <c r="J57" i="3"/>
  <c r="I57" i="3"/>
  <c r="H57" i="3"/>
  <c r="F57" i="3"/>
  <c r="E57" i="3"/>
  <c r="D57" i="3"/>
  <c r="L56" i="3"/>
  <c r="K56" i="3"/>
  <c r="J56" i="3"/>
  <c r="I56" i="3"/>
  <c r="H56" i="3"/>
  <c r="F56" i="3"/>
  <c r="E56" i="3"/>
  <c r="D56" i="3"/>
  <c r="L55" i="3"/>
  <c r="K55" i="3"/>
  <c r="J55" i="3"/>
  <c r="I55" i="3"/>
  <c r="H55" i="3"/>
  <c r="F55" i="3"/>
  <c r="E55" i="3"/>
  <c r="D55" i="3"/>
  <c r="L54" i="3"/>
  <c r="K54" i="3"/>
  <c r="J54" i="3"/>
  <c r="I54" i="3"/>
  <c r="H54" i="3"/>
  <c r="F54" i="3"/>
  <c r="E54" i="3"/>
  <c r="D54" i="3"/>
  <c r="L53" i="3"/>
  <c r="K53" i="3"/>
  <c r="J53" i="3"/>
  <c r="I53" i="3"/>
  <c r="H53" i="3"/>
  <c r="F53" i="3"/>
  <c r="E53" i="3"/>
  <c r="D53" i="3"/>
  <c r="L52" i="3"/>
  <c r="L58" i="3" s="1"/>
  <c r="K52" i="3"/>
  <c r="K58" i="3" s="1"/>
  <c r="J52" i="3"/>
  <c r="J58" i="3" s="1"/>
  <c r="I52" i="3"/>
  <c r="H52" i="3"/>
  <c r="H58" i="3" s="1"/>
  <c r="F52" i="3"/>
  <c r="F58" i="3" s="1"/>
  <c r="E52" i="3"/>
  <c r="E58" i="3" s="1"/>
  <c r="D52" i="3"/>
  <c r="D58" i="3" s="1"/>
  <c r="J59" i="1"/>
  <c r="J58" i="1"/>
  <c r="J57" i="1"/>
  <c r="J56" i="1"/>
  <c r="J55" i="1"/>
  <c r="J54" i="1"/>
  <c r="L59" i="1"/>
  <c r="K59" i="1"/>
  <c r="I59" i="1"/>
  <c r="H59" i="1"/>
  <c r="L58" i="1"/>
  <c r="K58" i="1"/>
  <c r="I58" i="1"/>
  <c r="H58" i="1"/>
  <c r="L57" i="1"/>
  <c r="K57" i="1"/>
  <c r="I57" i="1"/>
  <c r="H57" i="1"/>
  <c r="L56" i="1"/>
  <c r="K56" i="1"/>
  <c r="I56" i="1"/>
  <c r="H56" i="1"/>
  <c r="L55" i="1"/>
  <c r="K55" i="1"/>
  <c r="I55" i="1"/>
  <c r="H55" i="1"/>
  <c r="L54" i="1"/>
  <c r="K54" i="1"/>
  <c r="I54" i="1"/>
  <c r="H54" i="1"/>
  <c r="F59" i="1"/>
  <c r="F58" i="1"/>
  <c r="F57" i="1"/>
  <c r="F56" i="1"/>
  <c r="F55" i="1"/>
  <c r="F54" i="1"/>
  <c r="E59" i="1"/>
  <c r="E58" i="1"/>
  <c r="E57" i="1"/>
  <c r="E56" i="1"/>
  <c r="E55" i="1"/>
  <c r="E54" i="1"/>
  <c r="D59" i="1"/>
  <c r="D58" i="1"/>
  <c r="D57" i="1"/>
  <c r="D56" i="1"/>
  <c r="D55" i="1"/>
  <c r="D54" i="1"/>
  <c r="E62" i="5" l="1"/>
  <c r="L62" i="5"/>
  <c r="D61" i="4"/>
  <c r="E61" i="4"/>
  <c r="F61" i="4"/>
  <c r="H61" i="4"/>
  <c r="L61" i="4"/>
  <c r="D62" i="5"/>
  <c r="H62" i="5"/>
  <c r="J62" i="5"/>
  <c r="F62" i="5"/>
  <c r="K62" i="5"/>
  <c r="I62" i="5"/>
  <c r="C56" i="5" s="1"/>
  <c r="C61" i="5"/>
  <c r="C60" i="5"/>
  <c r="C59" i="5"/>
  <c r="C58" i="5"/>
  <c r="C57" i="5"/>
  <c r="I61" i="4"/>
  <c r="C55" i="4" s="1"/>
  <c r="C60" i="4"/>
  <c r="C59" i="4"/>
  <c r="C58" i="4"/>
  <c r="C57" i="4"/>
  <c r="C56" i="4"/>
  <c r="I58" i="3"/>
  <c r="C52" i="3" s="1"/>
  <c r="C57" i="3"/>
  <c r="C56" i="3"/>
  <c r="C55" i="3"/>
  <c r="C54" i="3"/>
  <c r="C53" i="3"/>
  <c r="J60" i="1"/>
  <c r="D60" i="1"/>
  <c r="E60" i="1"/>
  <c r="F60" i="1"/>
  <c r="L60" i="1"/>
  <c r="H60" i="1"/>
  <c r="K60" i="1"/>
  <c r="I60" i="1"/>
  <c r="C55" i="1"/>
  <c r="C57" i="1"/>
  <c r="C59" i="1"/>
  <c r="C58" i="1"/>
  <c r="C62" i="5" l="1"/>
  <c r="C61" i="4"/>
  <c r="C58" i="3"/>
  <c r="C54" i="1"/>
  <c r="C56" i="1"/>
  <c r="C60" i="1"/>
</calcChain>
</file>

<file path=xl/sharedStrings.xml><?xml version="1.0" encoding="utf-8"?>
<sst xmlns="http://schemas.openxmlformats.org/spreadsheetml/2006/main" count="2024" uniqueCount="351">
  <si>
    <t>#</t>
  </si>
  <si>
    <t>課題
（現状と影響）</t>
  </si>
  <si>
    <t>重要
度</t>
  </si>
  <si>
    <t>緊急
度</t>
  </si>
  <si>
    <r>
      <rPr>
        <b/>
        <sz val="10"/>
        <color rgb="FFFFFFFF"/>
        <rFont val="Arial"/>
        <family val="2"/>
      </rPr>
      <t>PJ</t>
    </r>
    <r>
      <rPr>
        <b/>
        <sz val="10"/>
        <color rgb="FFFFFFFF"/>
        <rFont val="DejaVu Sans"/>
        <family val="2"/>
      </rPr>
      <t>キーワード</t>
    </r>
  </si>
  <si>
    <r>
      <rPr>
        <b/>
        <sz val="10"/>
        <color rgb="FFFFFFFF"/>
        <rFont val="Arial"/>
        <family val="2"/>
      </rPr>
      <t>PJ</t>
    </r>
    <r>
      <rPr>
        <b/>
        <sz val="10"/>
        <color rgb="FFFFFFFF"/>
        <rFont val="DejaVu Sans"/>
        <family val="2"/>
      </rPr>
      <t>内容
（施策の要点）</t>
    </r>
  </si>
  <si>
    <t>期間・期限
（マイルストーン）</t>
    <rPh sb="0" eb="2">
      <t>キカン</t>
    </rPh>
    <rPh sb="3" eb="5">
      <t>キゲン</t>
    </rPh>
    <phoneticPr fontId="15"/>
  </si>
  <si>
    <t>関係部門</t>
  </si>
  <si>
    <r>
      <rPr>
        <b/>
        <sz val="10"/>
        <color rgb="FFFFFFFF"/>
        <rFont val="Arial"/>
        <family val="2"/>
      </rPr>
      <t>CX</t>
    </r>
    <r>
      <rPr>
        <b/>
        <sz val="10"/>
        <color rgb="FFFFFFFF"/>
        <rFont val="DejaVu Sans"/>
        <family val="2"/>
      </rPr>
      <t>担当</t>
    </r>
  </si>
  <si>
    <t>当週
進捗記入</t>
    <rPh sb="0" eb="2">
      <t>トウシュウ</t>
    </rPh>
    <rPh sb="3" eb="5">
      <t>シンチョク</t>
    </rPh>
    <rPh sb="5" eb="7">
      <t>キニュウ</t>
    </rPh>
    <phoneticPr fontId="15"/>
  </si>
  <si>
    <t>ステータス</t>
  </si>
  <si>
    <r>
      <t xml:space="preserve">進捗
</t>
    </r>
    <r>
      <rPr>
        <b/>
        <sz val="8"/>
        <color rgb="FFFFFFFF"/>
        <rFont val="ＭＳ ゴシック"/>
        <family val="3"/>
        <charset val="128"/>
      </rPr>
      <t>「計画に対してどこまで進んでいるか」</t>
    </r>
    <phoneticPr fontId="15"/>
  </si>
  <si>
    <r>
      <t xml:space="preserve">課題・リスク
</t>
    </r>
    <r>
      <rPr>
        <b/>
        <sz val="8"/>
        <color rgb="FFFFFFFF"/>
        <rFont val="ＭＳ ゴシック"/>
        <family val="3"/>
        <charset val="128"/>
      </rPr>
      <t>「問題は何か、将来の危険は何か」</t>
    </r>
    <phoneticPr fontId="15"/>
  </si>
  <si>
    <r>
      <rPr>
        <b/>
        <sz val="10"/>
        <color rgb="FFFFFFFF"/>
        <rFont val="ＭＳ ゴシック"/>
        <family val="3"/>
        <charset val="128"/>
      </rPr>
      <t xml:space="preserve">対応方針・アクション
</t>
    </r>
    <r>
      <rPr>
        <b/>
        <sz val="8"/>
        <color rgb="FFFFFFFF"/>
        <rFont val="ＭＳ ゴシック"/>
        <family val="3"/>
        <charset val="128"/>
      </rPr>
      <t>「どう解決するか、次に何をやるか」</t>
    </r>
    <phoneticPr fontId="15"/>
  </si>
  <si>
    <r>
      <t xml:space="preserve">意思決定事項
</t>
    </r>
    <r>
      <rPr>
        <b/>
        <sz val="8"/>
        <color rgb="FFFFFFFF"/>
        <rFont val="ＭＳ ゴシック"/>
        <family val="3"/>
        <charset val="128"/>
      </rPr>
      <t>「経営・上位者に判断してほしいこと」</t>
    </r>
    <phoneticPr fontId="15"/>
  </si>
  <si>
    <r>
      <rPr>
        <b/>
        <sz val="10"/>
        <color rgb="FFFFFFFF"/>
        <rFont val="ＭＳ ゴシック"/>
        <family val="3"/>
        <charset val="128"/>
      </rPr>
      <t xml:space="preserve">KPI・成果
</t>
    </r>
    <r>
      <rPr>
        <b/>
        <sz val="8"/>
        <color rgb="FFFFFFFF"/>
        <rFont val="ＭＳ ゴシック"/>
        <family val="3"/>
        <charset val="128"/>
      </rPr>
      <t>「どれだけ価値が出ているか」</t>
    </r>
  </si>
  <si>
    <t>欠品低減に向けての取り組み</t>
  </si>
  <si>
    <t>高</t>
  </si>
  <si>
    <t>中</t>
  </si>
  <si>
    <t>信頼の棚
自動発注</t>
  </si>
  <si>
    <r>
      <rPr>
        <sz val="9"/>
        <rFont val="ＭＳ ゴシック"/>
        <family val="3"/>
        <charset val="128"/>
      </rPr>
      <t>・入替リスト実施精度向上
・最低在庫１</t>
    </r>
    <r>
      <rPr>
        <sz val="9"/>
        <rFont val="DejaVu Sans"/>
        <family val="2"/>
        <charset val="128"/>
      </rPr>
      <t>→</t>
    </r>
    <r>
      <rPr>
        <sz val="9"/>
        <rFont val="ＭＳ ゴシック"/>
        <family val="3"/>
        <charset val="128"/>
      </rPr>
      <t>２
・欠品調査</t>
    </r>
    <r>
      <rPr>
        <sz val="9"/>
        <rFont val="Arial"/>
        <family val="2"/>
      </rPr>
      <t>PG</t>
    </r>
    <r>
      <rPr>
        <sz val="9"/>
        <rFont val="ＭＳ ゴシック"/>
        <family val="3"/>
        <charset val="128"/>
      </rPr>
      <t xml:space="preserve">、現状把握・分析・対応
　　バイヤー軸、店舗運営部軸
</t>
    </r>
    <phoneticPr fontId="15"/>
  </si>
  <si>
    <t>・2/1全店欠品調査　開始
・3/1商品部、店舗運営部用分析画面リリース
・欠品チェックメンションRPA</t>
    <rPh sb="38" eb="40">
      <t>ケッピン</t>
    </rPh>
    <phoneticPr fontId="15"/>
  </si>
  <si>
    <r>
      <rPr>
        <sz val="9"/>
        <rFont val="Arial"/>
        <family val="2"/>
      </rPr>
      <t>CX</t>
    </r>
    <r>
      <rPr>
        <sz val="9"/>
        <rFont val="DejaVu Sans"/>
        <family val="2"/>
      </rPr>
      <t>推進部
商品部
店舗運営部</t>
    </r>
  </si>
  <si>
    <t>齋藤
足立</t>
  </si>
  <si>
    <t>齋藤</t>
    <phoneticPr fontId="15"/>
  </si>
  <si>
    <t>進行中</t>
  </si>
  <si>
    <t>調査漏れがある
欠品数が減っていない
欠品数が少ないと思われる店舗がある</t>
  </si>
  <si>
    <t>・詳細を坪井泰樹さんからヒアリング　3/31_欠品対策運用の徹底
・3月末　欠品チェックリマインドRPA作成
経営戦略本部：現地確認</t>
  </si>
  <si>
    <t>グループウェア導入</t>
  </si>
  <si>
    <t>グループウェア</t>
  </si>
  <si>
    <t xml:space="preserve">デスクネッツネオ、サイバーメールの導入
</t>
    <phoneticPr fontId="15"/>
  </si>
  <si>
    <r>
      <rPr>
        <sz val="9"/>
        <rFont val="ＭＳ ゴシック"/>
        <family val="3"/>
        <charset val="128"/>
      </rPr>
      <t>・サイバーメイル運用開始：物販</t>
    </r>
    <r>
      <rPr>
        <sz val="9"/>
        <rFont val="Arial"/>
        <family val="2"/>
      </rPr>
      <t>4/6</t>
    </r>
    <r>
      <rPr>
        <sz val="9"/>
        <rFont val="ＭＳ ゴシック"/>
        <family val="3"/>
        <charset val="128"/>
      </rPr>
      <t>（月）、調剤</t>
    </r>
    <r>
      <rPr>
        <sz val="9"/>
        <rFont val="Arial"/>
        <family val="2"/>
      </rPr>
      <t>4/4</t>
    </r>
    <r>
      <rPr>
        <sz val="9"/>
        <rFont val="ＭＳ ゴシック"/>
        <family val="3"/>
        <charset val="128"/>
      </rPr>
      <t>（土）</t>
    </r>
    <r>
      <rPr>
        <sz val="9"/>
        <rFont val="DejaVu Sans"/>
        <family val="2"/>
      </rPr>
      <t xml:space="preserve">
・杏林堂MSドメイン終了：2027.02.28</t>
    </r>
    <rPh sb="32" eb="35">
      <t>キョウリンドウ</t>
    </rPh>
    <rPh sb="41" eb="43">
      <t>シュウリョウ</t>
    </rPh>
    <phoneticPr fontId="15"/>
  </si>
  <si>
    <t>全社</t>
  </si>
  <si>
    <t>横井
足立</t>
  </si>
  <si>
    <t>横井</t>
  </si>
  <si>
    <r>
      <rPr>
        <sz val="9"/>
        <rFont val="DejaVu Sans"/>
        <family val="1"/>
      </rPr>
      <t>①</t>
    </r>
    <r>
      <rPr>
        <sz val="9"/>
        <rFont val="ＭＳ ゴシック"/>
        <family val="3"/>
        <charset val="128"/>
      </rPr>
      <t>名刺の差し替え</t>
    </r>
    <r>
      <rPr>
        <sz val="9"/>
        <rFont val="DejaVu Sans"/>
        <family val="2"/>
        <charset val="128"/>
      </rPr>
      <t>→</t>
    </r>
    <r>
      <rPr>
        <sz val="9"/>
        <rFont val="Arial"/>
        <family val="2"/>
      </rPr>
      <t>6</t>
    </r>
    <r>
      <rPr>
        <sz val="9"/>
        <rFont val="ＭＳ ゴシック"/>
        <family val="3"/>
        <charset val="128"/>
      </rPr>
      <t>万枚</t>
    </r>
    <r>
      <rPr>
        <sz val="9"/>
        <rFont val="Arial"/>
        <family val="2"/>
      </rPr>
      <t xml:space="preserve">\63,360
</t>
    </r>
    <r>
      <rPr>
        <sz val="9"/>
        <rFont val="ＭＳ ゴシック"/>
        <family val="3"/>
        <charset val="128"/>
      </rPr>
      <t>・</t>
    </r>
    <r>
      <rPr>
        <sz val="9"/>
        <rFont val="Arial"/>
        <family val="2"/>
      </rPr>
      <t>HD</t>
    </r>
    <r>
      <rPr>
        <sz val="9"/>
        <rFont val="ＭＳ ゴシック"/>
        <family val="3"/>
        <charset val="128"/>
      </rPr>
      <t>所属を除く：</t>
    </r>
    <r>
      <rPr>
        <sz val="9"/>
        <rFont val="Arial"/>
        <family val="2"/>
      </rPr>
      <t>298,320</t>
    </r>
    <r>
      <rPr>
        <sz val="9"/>
        <rFont val="ＭＳ ゴシック"/>
        <family val="3"/>
        <charset val="128"/>
      </rPr>
      <t>円（税抜）＝約</t>
    </r>
    <r>
      <rPr>
        <sz val="9"/>
        <rFont val="Arial"/>
        <family val="2"/>
      </rPr>
      <t>30</t>
    </r>
    <r>
      <rPr>
        <sz val="9"/>
        <rFont val="ＭＳ ゴシック"/>
        <family val="3"/>
        <charset val="128"/>
      </rPr>
      <t>万
・</t>
    </r>
    <r>
      <rPr>
        <sz val="9"/>
        <rFont val="Arial"/>
        <family val="2"/>
      </rPr>
      <t>HD</t>
    </r>
    <r>
      <rPr>
        <sz val="9"/>
        <rFont val="ＭＳ ゴシック"/>
        <family val="3"/>
        <charset val="128"/>
      </rPr>
      <t>所属を含む：</t>
    </r>
    <r>
      <rPr>
        <sz val="9"/>
        <rFont val="Arial"/>
        <family val="2"/>
      </rPr>
      <t>397,440</t>
    </r>
    <r>
      <rPr>
        <sz val="9"/>
        <rFont val="ＭＳ ゴシック"/>
        <family val="3"/>
        <charset val="128"/>
      </rPr>
      <t>円（税抜）＝約</t>
    </r>
    <r>
      <rPr>
        <sz val="9"/>
        <rFont val="Arial"/>
        <family val="2"/>
      </rPr>
      <t>40</t>
    </r>
    <r>
      <rPr>
        <sz val="9"/>
        <rFont val="ＭＳ ゴシック"/>
        <family val="3"/>
        <charset val="128"/>
      </rPr>
      <t>万
★原稿作成２</t>
    </r>
    <r>
      <rPr>
        <sz val="9"/>
        <rFont val="Arial"/>
        <family val="2"/>
      </rPr>
      <t>W</t>
    </r>
    <r>
      <rPr>
        <sz val="9"/>
        <rFont val="ＭＳ ゴシック"/>
        <family val="3"/>
        <charset val="128"/>
      </rPr>
      <t>、印刷２営業日
②役員以上の方の</t>
    </r>
    <r>
      <rPr>
        <sz val="9"/>
        <rFont val="Arial"/>
        <family val="2"/>
      </rPr>
      <t>Cybermail</t>
    </r>
    <r>
      <rPr>
        <sz val="9"/>
        <rFont val="ＭＳ ゴシック"/>
        <family val="3"/>
        <charset val="128"/>
      </rPr>
      <t>の周知
③メールフォルダ容量の拡張の必要性
・</t>
    </r>
    <r>
      <rPr>
        <sz val="9"/>
        <rFont val="Arial"/>
        <family val="2"/>
      </rPr>
      <t>50G</t>
    </r>
    <r>
      <rPr>
        <sz val="9"/>
        <rFont val="ＭＳ ゴシック"/>
        <family val="3"/>
        <charset val="128"/>
      </rPr>
      <t>拡張：毎月約</t>
    </r>
    <r>
      <rPr>
        <sz val="9"/>
        <rFont val="Arial"/>
        <family val="2"/>
      </rPr>
      <t>25</t>
    </r>
    <r>
      <rPr>
        <sz val="9"/>
        <rFont val="ＭＳ ゴシック"/>
        <family val="3"/>
        <charset val="128"/>
      </rPr>
      <t>万円
④</t>
    </r>
    <r>
      <rPr>
        <sz val="9"/>
        <rFont val="Arial"/>
        <family val="2"/>
      </rPr>
      <t>4/1</t>
    </r>
    <r>
      <rPr>
        <sz val="9"/>
        <rFont val="ＭＳ ゴシック"/>
        <family val="3"/>
        <charset val="128"/>
      </rPr>
      <t>移動者のアドレス申請</t>
    </r>
    <r>
      <rPr>
        <sz val="9"/>
        <rFont val="DejaVu Sans"/>
        <family val="2"/>
        <charset val="128"/>
      </rPr>
      <t>→</t>
    </r>
    <r>
      <rPr>
        <sz val="9"/>
        <rFont val="ＭＳ ゴシック"/>
        <family val="3"/>
        <charset val="128"/>
      </rPr>
      <t>間に合いません
⑤</t>
    </r>
    <r>
      <rPr>
        <sz val="9"/>
        <rFont val="Arial"/>
        <family val="2"/>
      </rPr>
      <t>outlook</t>
    </r>
    <r>
      <rPr>
        <sz val="9"/>
        <rFont val="ＭＳ ゴシック"/>
        <family val="3"/>
        <charset val="128"/>
      </rPr>
      <t>メール終了
　店舗：</t>
    </r>
    <r>
      <rPr>
        <sz val="9"/>
        <rFont val="Arial"/>
        <family val="2"/>
      </rPr>
      <t>2026/07</t>
    </r>
    <r>
      <rPr>
        <sz val="9"/>
        <rFont val="ＭＳ ゴシック"/>
        <family val="3"/>
        <charset val="128"/>
      </rPr>
      <t>終了　本部員：</t>
    </r>
    <r>
      <rPr>
        <sz val="9"/>
        <rFont val="Arial"/>
        <family val="2"/>
      </rPr>
      <t>2027/02/28</t>
    </r>
    <r>
      <rPr>
        <sz val="9"/>
        <rFont val="ＭＳ ゴシック"/>
        <family val="3"/>
        <charset val="128"/>
      </rPr>
      <t>終了
⑥</t>
    </r>
    <r>
      <rPr>
        <sz val="9"/>
        <rFont val="Arial"/>
        <family val="2"/>
      </rPr>
      <t>outlook</t>
    </r>
    <r>
      <rPr>
        <sz val="9"/>
        <rFont val="ＭＳ ゴシック"/>
        <family val="3"/>
        <charset val="128"/>
      </rPr>
      <t>スケジュール連携
⑦事故報告書：</t>
    </r>
    <r>
      <rPr>
        <sz val="9"/>
        <rFont val="Arial"/>
        <family val="2"/>
      </rPr>
      <t>THD</t>
    </r>
    <r>
      <rPr>
        <sz val="9"/>
        <rFont val="ＭＳ ゴシック"/>
        <family val="3"/>
        <charset val="128"/>
      </rPr>
      <t>よりデスクネッツネオを利用に運用変更
・添付容量確認
社長グループの選定
事故報告書メンションの設定
メールアカウント管理</t>
    </r>
    <r>
      <rPr>
        <sz val="9"/>
        <rFont val="DejaVu Sans"/>
        <family val="2"/>
        <charset val="128"/>
      </rPr>
      <t>→</t>
    </r>
    <r>
      <rPr>
        <sz val="9"/>
        <rFont val="ＭＳ ゴシック"/>
        <family val="3"/>
        <charset val="128"/>
      </rPr>
      <t>情報システム</t>
    </r>
    <phoneticPr fontId="15"/>
  </si>
  <si>
    <r>
      <rPr>
        <sz val="9"/>
        <rFont val="DejaVu Sans"/>
        <family val="2"/>
      </rPr>
      <t>事前準備
　</t>
    </r>
    <r>
      <rPr>
        <sz val="9"/>
        <rFont val="Arial"/>
        <family val="2"/>
      </rPr>
      <t>outlook</t>
    </r>
    <r>
      <rPr>
        <sz val="9"/>
        <rFont val="DejaVu Sans"/>
        <family val="2"/>
      </rPr>
      <t>のグループアドレス帳整備
　→情報システム部へ依頼
　新ネットフォルダの展開
　→本部員各自でインストール依頼予定
　メールフォルダの準備
　　アカウント申請整理</t>
    </r>
  </si>
  <si>
    <t>商品部、店舗運営部　業務可視化、生産性向上</t>
  </si>
  <si>
    <r>
      <rPr>
        <sz val="9"/>
        <rFont val="Arial"/>
        <family val="2"/>
      </rPr>
      <t>Qasee</t>
    </r>
    <r>
      <rPr>
        <sz val="9"/>
        <rFont val="DejaVu Sans"/>
        <family val="2"/>
      </rPr>
      <t>分析</t>
    </r>
  </si>
  <si>
    <r>
      <rPr>
        <sz val="9"/>
        <rFont val="Arial"/>
        <family val="2"/>
      </rPr>
      <t>PC</t>
    </r>
    <r>
      <rPr>
        <sz val="9"/>
        <rFont val="DejaVu Sans"/>
        <family val="2"/>
      </rPr>
      <t>の操作ログ（アプリ使用時間、キー入力量など）を自動収集アプリを導入</t>
    </r>
  </si>
  <si>
    <t>商品部
店舗運営部</t>
  </si>
  <si>
    <t>鈴木孝</t>
  </si>
  <si>
    <r>
      <t xml:space="preserve">4/16 </t>
    </r>
    <r>
      <rPr>
        <sz val="9"/>
        <rFont val="ＭＳ Ｐゴシック"/>
        <family val="2"/>
        <charset val="128"/>
      </rPr>
      <t>商品部振り返り待ち</t>
    </r>
    <rPh sb="5" eb="8">
      <t>ショウヒンブ</t>
    </rPh>
    <rPh sb="8" eb="9">
      <t>フ</t>
    </rPh>
    <rPh sb="10" eb="11">
      <t>カエ</t>
    </rPh>
    <rPh sb="12" eb="13">
      <t>マ</t>
    </rPh>
    <phoneticPr fontId="15"/>
  </si>
  <si>
    <t>自動で振り分けられない作業を「仕分け」する必要があるが、やり切れていない。
運用初期なので、運用が上手く乗るまで少し細かくチェック。</t>
  </si>
  <si>
    <t>商品部の業務分析
・鈴木雅彦・小峰・疋田・大庭・栗田・中野</t>
  </si>
  <si>
    <r>
      <rPr>
        <sz val="9"/>
        <rFont val="DejaVu Sans"/>
        <family val="2"/>
      </rPr>
      <t>契約書レビュー</t>
    </r>
    <r>
      <rPr>
        <sz val="9"/>
        <rFont val="Arial"/>
        <family val="2"/>
      </rPr>
      <t>AI</t>
    </r>
    <r>
      <rPr>
        <sz val="9"/>
        <rFont val="DejaVu Sans"/>
        <family val="2"/>
      </rPr>
      <t>クラウド</t>
    </r>
  </si>
  <si>
    <t>低</t>
  </si>
  <si>
    <r>
      <rPr>
        <sz val="9"/>
        <rFont val="DejaVu Sans"/>
        <family val="2"/>
      </rPr>
      <t xml:space="preserve">リセ
</t>
    </r>
    <r>
      <rPr>
        <sz val="9"/>
        <rFont val="Arial"/>
        <family val="2"/>
      </rPr>
      <t>LeCHECK</t>
    </r>
  </si>
  <si>
    <r>
      <rPr>
        <sz val="9"/>
        <rFont val="ＭＳ ゴシック"/>
        <family val="3"/>
        <charset val="128"/>
      </rPr>
      <t>契約書レビュー</t>
    </r>
    <r>
      <rPr>
        <sz val="9"/>
        <rFont val="Arial"/>
        <family val="2"/>
      </rPr>
      <t>AI</t>
    </r>
    <r>
      <rPr>
        <sz val="9"/>
        <rFont val="ＭＳ ゴシック"/>
        <family val="3"/>
        <charset val="128"/>
      </rPr>
      <t>クラウドの導入検討
・レビューの効率化
・契約リスクの早期発見　トラブル防止、コンプライアンス強化
・法務ナレッジの標準化　担当者依存から脱却
すすかけリーガルチェック
　</t>
    </r>
    <r>
      <rPr>
        <sz val="9"/>
        <rFont val="Arial"/>
        <family val="2"/>
      </rPr>
      <t>2026</t>
    </r>
    <r>
      <rPr>
        <sz val="9"/>
        <rFont val="ＭＳ ゴシック"/>
        <family val="3"/>
        <charset val="128"/>
      </rPr>
      <t>年</t>
    </r>
    <r>
      <rPr>
        <sz val="9"/>
        <rFont val="Arial"/>
        <family val="2"/>
      </rPr>
      <t>3</t>
    </r>
    <r>
      <rPr>
        <sz val="9"/>
        <rFont val="ＭＳ ゴシック"/>
        <family val="3"/>
        <charset val="128"/>
      </rPr>
      <t>月まで　</t>
    </r>
    <r>
      <rPr>
        <sz val="9"/>
        <rFont val="Arial"/>
        <family val="2"/>
      </rPr>
      <t>21</t>
    </r>
    <r>
      <rPr>
        <sz val="9"/>
        <rFont val="ＭＳ ゴシック"/>
        <family val="3"/>
        <charset val="128"/>
      </rPr>
      <t>件、</t>
    </r>
    <r>
      <rPr>
        <sz val="9"/>
        <rFont val="Arial"/>
        <family val="2"/>
      </rPr>
      <t>2025</t>
    </r>
    <r>
      <rPr>
        <sz val="9"/>
        <rFont val="ＭＳ ゴシック"/>
        <family val="3"/>
        <charset val="128"/>
      </rPr>
      <t>年　</t>
    </r>
    <r>
      <rPr>
        <sz val="9"/>
        <rFont val="Arial"/>
        <family val="2"/>
      </rPr>
      <t>80</t>
    </r>
    <r>
      <rPr>
        <sz val="9"/>
        <rFont val="ＭＳ ゴシック"/>
        <family val="3"/>
        <charset val="128"/>
      </rPr>
      <t>件、</t>
    </r>
    <r>
      <rPr>
        <sz val="9"/>
        <rFont val="Arial"/>
        <family val="2"/>
      </rPr>
      <t>2024</t>
    </r>
    <r>
      <rPr>
        <sz val="9"/>
        <rFont val="ＭＳ ゴシック"/>
        <family val="3"/>
        <charset val="128"/>
      </rPr>
      <t>年　</t>
    </r>
    <r>
      <rPr>
        <sz val="9"/>
        <rFont val="Arial"/>
        <family val="2"/>
      </rPr>
      <t>131</t>
    </r>
    <r>
      <rPr>
        <sz val="9"/>
        <rFont val="ＭＳ ゴシック"/>
        <family val="3"/>
        <charset val="128"/>
      </rPr>
      <t>件、</t>
    </r>
    <r>
      <rPr>
        <sz val="9"/>
        <rFont val="Arial"/>
        <family val="2"/>
      </rPr>
      <t>2023</t>
    </r>
    <r>
      <rPr>
        <sz val="9"/>
        <rFont val="ＭＳ ゴシック"/>
        <family val="3"/>
        <charset val="128"/>
      </rPr>
      <t>年　</t>
    </r>
    <r>
      <rPr>
        <sz val="9"/>
        <rFont val="Arial"/>
        <family val="2"/>
      </rPr>
      <t>105</t>
    </r>
    <r>
      <rPr>
        <sz val="9"/>
        <rFont val="ＭＳ ゴシック"/>
        <family val="3"/>
        <charset val="128"/>
      </rPr>
      <t>件</t>
    </r>
    <r>
      <rPr>
        <sz val="9"/>
        <rFont val="DejaVu Sans"/>
        <family val="2"/>
      </rPr>
      <t xml:space="preserve">
すずかけ顧問料：月2.7万円</t>
    </r>
    <phoneticPr fontId="15"/>
  </si>
  <si>
    <r>
      <t>・3/19</t>
    </r>
    <r>
      <rPr>
        <sz val="9"/>
        <rFont val="ＭＳ ゴシック"/>
        <family val="3"/>
        <charset val="128"/>
      </rPr>
      <t>導入済
・4月末まで：法務リサーチ機能β版追加</t>
    </r>
    <rPh sb="11" eb="13">
      <t>ガツマツ</t>
    </rPh>
    <phoneticPr fontId="15"/>
  </si>
  <si>
    <t>総務</t>
  </si>
  <si>
    <r>
      <rPr>
        <sz val="9"/>
        <color rgb="FF000000"/>
        <rFont val="ＭＳ ゴシック"/>
        <family val="3"/>
        <charset val="128"/>
      </rPr>
      <t xml:space="preserve">鈴木孝
</t>
    </r>
    <r>
      <rPr>
        <sz val="9"/>
        <color rgb="FF000000"/>
        <rFont val="DejaVu Sans"/>
      </rPr>
      <t>齋藤</t>
    </r>
  </si>
  <si>
    <t>齋藤</t>
    <rPh sb="0" eb="2">
      <t>サイトウ</t>
    </rPh>
    <phoneticPr fontId="15"/>
  </si>
  <si>
    <r>
      <rPr>
        <sz val="9"/>
        <rFont val="ＭＳ ゴシック"/>
        <family val="3"/>
        <charset val="128"/>
      </rPr>
      <t>開発部、お客様相談室にて把握できていないリーガルチェックあり
新しい法律（取適法）などに対しても弁護士</t>
    </r>
    <r>
      <rPr>
        <sz val="9"/>
        <rFont val="Arial"/>
        <family val="2"/>
      </rPr>
      <t>30</t>
    </r>
    <r>
      <rPr>
        <sz val="9"/>
        <rFont val="ＭＳ ゴシック"/>
        <family val="3"/>
        <charset val="128"/>
      </rPr>
      <t>人でチェック</t>
    </r>
    <phoneticPr fontId="15"/>
  </si>
  <si>
    <r>
      <rPr>
        <sz val="9"/>
        <color rgb="FF000000"/>
        <rFont val="ＭＳ ゴシック"/>
        <family val="3"/>
        <charset val="128"/>
      </rPr>
      <t>リセ社より操作説明予定（予定調整中）
法務リサーチ機能</t>
    </r>
    <r>
      <rPr>
        <sz val="9"/>
        <color rgb="FF000000"/>
        <rFont val="Arial"/>
      </rPr>
      <t>β</t>
    </r>
    <r>
      <rPr>
        <sz val="9"/>
        <color rgb="FF000000"/>
        <rFont val="ＭＳ ゴシック"/>
        <family val="3"/>
        <charset val="128"/>
      </rPr>
      <t>版追加、総務に機能リリースのつなぎまで</t>
    </r>
    <r>
      <rPr>
        <sz val="9"/>
        <color rgb="FF000000"/>
        <rFont val="Arial"/>
      </rPr>
      <t>CX</t>
    </r>
    <r>
      <rPr>
        <sz val="9"/>
        <color rgb="FF000000"/>
        <rFont val="ＭＳ ゴシック"/>
        <family val="3"/>
        <charset val="128"/>
      </rPr>
      <t xml:space="preserve">で行う
</t>
    </r>
  </si>
  <si>
    <r>
      <rPr>
        <sz val="9"/>
        <rFont val="DejaVu Sans"/>
        <family val="2"/>
      </rPr>
      <t>議事録自動化</t>
    </r>
    <r>
      <rPr>
        <sz val="9"/>
        <rFont val="Arial"/>
        <family val="2"/>
      </rPr>
      <t>AI</t>
    </r>
    <r>
      <rPr>
        <sz val="9"/>
        <rFont val="DejaVu Sans"/>
        <family val="2"/>
      </rPr>
      <t>エージェント導入</t>
    </r>
  </si>
  <si>
    <t>JAPAN AI</t>
  </si>
  <si>
    <r>
      <rPr>
        <sz val="9"/>
        <rFont val="DejaVu Sans"/>
        <family val="2"/>
      </rPr>
      <t>生成</t>
    </r>
    <r>
      <rPr>
        <sz val="9"/>
        <rFont val="Arial"/>
        <family val="2"/>
      </rPr>
      <t>AI</t>
    </r>
    <r>
      <rPr>
        <sz val="9"/>
        <rFont val="DejaVu Sans"/>
        <family val="2"/>
      </rPr>
      <t>活用
・２か月試験運用で継続判断
・</t>
    </r>
    <r>
      <rPr>
        <sz val="9"/>
        <rFont val="Arial"/>
        <family val="2"/>
      </rPr>
      <t>AI</t>
    </r>
    <r>
      <rPr>
        <sz val="9"/>
        <rFont val="DejaVu Sans"/>
        <family val="2"/>
      </rPr>
      <t>エージェント内製開発も視野</t>
    </r>
  </si>
  <si>
    <r>
      <rPr>
        <sz val="9"/>
        <rFont val="Arial"/>
        <family val="2"/>
      </rPr>
      <t>CX</t>
    </r>
    <r>
      <rPr>
        <sz val="9"/>
        <rFont val="DejaVu Sans"/>
        <family val="2"/>
      </rPr>
      <t>推進部</t>
    </r>
  </si>
  <si>
    <t>横井
鈴木孝
足立</t>
  </si>
  <si>
    <r>
      <rPr>
        <sz val="9"/>
        <rFont val="ＭＳ Ｐゴシック"/>
        <family val="2"/>
        <charset val="128"/>
      </rPr>
      <t xml:space="preserve">トライアル契約完了
</t>
    </r>
    <r>
      <rPr>
        <sz val="9"/>
        <rFont val="DejaVu Sans"/>
        <family val="2"/>
      </rPr>
      <t>4/7</t>
    </r>
    <r>
      <rPr>
        <sz val="9"/>
        <rFont val="ＭＳ Ｐゴシック"/>
        <family val="2"/>
        <charset val="128"/>
      </rPr>
      <t>説明会</t>
    </r>
    <rPh sb="5" eb="9">
      <t>ケイヤクカンリョウ</t>
    </rPh>
    <rPh sb="13" eb="16">
      <t>セツメイカイ</t>
    </rPh>
    <phoneticPr fontId="15"/>
  </si>
  <si>
    <t>リーガルチェックにて漏れ発生
・プロバイダー側が勝手に利用規約変更、サービス終了
・損害賠償責任の上限がない</t>
  </si>
  <si>
    <r>
      <rPr>
        <sz val="9"/>
        <rFont val="Arial"/>
        <family val="2"/>
      </rPr>
      <t>3/23</t>
    </r>
    <r>
      <rPr>
        <sz val="9"/>
        <rFont val="DejaVu Sans"/>
        <family val="2"/>
      </rPr>
      <t>　</t>
    </r>
    <r>
      <rPr>
        <sz val="9"/>
        <rFont val="Arial"/>
        <family val="2"/>
      </rPr>
      <t>JAPAN AI</t>
    </r>
    <r>
      <rPr>
        <sz val="9"/>
        <rFont val="DejaVu Sans"/>
        <family val="2"/>
      </rPr>
      <t>契約</t>
    </r>
  </si>
  <si>
    <r>
      <rPr>
        <sz val="9"/>
        <rFont val="DejaVu Sans"/>
        <family val="2"/>
      </rPr>
      <t>資料作成</t>
    </r>
    <r>
      <rPr>
        <sz val="9"/>
        <rFont val="Arial"/>
        <family val="2"/>
      </rPr>
      <t>AI</t>
    </r>
    <r>
      <rPr>
        <sz val="9"/>
        <rFont val="DejaVu Sans"/>
        <family val="2"/>
      </rPr>
      <t>エージェント導入</t>
    </r>
  </si>
  <si>
    <r>
      <rPr>
        <sz val="9"/>
        <rFont val="DejaVu Sans"/>
        <family val="2"/>
      </rPr>
      <t>生成</t>
    </r>
    <r>
      <rPr>
        <sz val="9"/>
        <rFont val="Arial"/>
        <family val="2"/>
      </rPr>
      <t>AI</t>
    </r>
    <r>
      <rPr>
        <sz val="9"/>
        <rFont val="DejaVu Sans"/>
        <family val="2"/>
      </rPr>
      <t>活用</t>
    </r>
  </si>
  <si>
    <r>
      <t>NotobookLM</t>
    </r>
    <r>
      <rPr>
        <sz val="9"/>
        <rFont val="ＭＳ Ｐゴシック"/>
        <family val="2"/>
        <charset val="128"/>
      </rPr>
      <t>導入完了8アカウント</t>
    </r>
    <rPh sb="10" eb="12">
      <t>ドウニュウ</t>
    </rPh>
    <rPh sb="12" eb="14">
      <t>カンリョウ</t>
    </rPh>
    <phoneticPr fontId="15"/>
  </si>
  <si>
    <r>
      <rPr>
        <sz val="9"/>
        <color rgb="FF000000"/>
        <rFont val="Arial"/>
      </rPr>
      <t>JAPAN AI</t>
    </r>
    <r>
      <rPr>
        <sz val="9"/>
        <color rgb="FF000000"/>
        <rFont val="DejaVu Sans"/>
      </rPr>
      <t xml:space="preserve">導入
</t>
    </r>
    <r>
      <rPr>
        <sz val="9"/>
        <color rgb="FF000000"/>
        <rFont val="Arial"/>
      </rPr>
      <t>NotebookLM</t>
    </r>
    <r>
      <rPr>
        <sz val="9"/>
        <color rgb="FF000000"/>
        <rFont val="DejaVu Sans"/>
      </rPr>
      <t>（</t>
    </r>
    <r>
      <rPr>
        <sz val="9"/>
        <color rgb="FF000000"/>
        <rFont val="Arial"/>
      </rPr>
      <t>GWS</t>
    </r>
    <r>
      <rPr>
        <sz val="9"/>
        <color rgb="FF000000"/>
        <rFont val="DejaVu Sans"/>
      </rPr>
      <t>導入）</t>
    </r>
  </si>
  <si>
    <t>価格ロジックと販促見直し</t>
  </si>
  <si>
    <t>単品売価上下影響
価格弾力性</t>
  </si>
  <si>
    <t>値付け適正化と会社影響、販促重複の把握
割引率による弾力性調査</t>
  </si>
  <si>
    <r>
      <rPr>
        <sz val="9"/>
        <rFont val="DejaVu Sans"/>
        <family val="2"/>
      </rPr>
      <t xml:space="preserve">営業推進部
</t>
    </r>
    <r>
      <rPr>
        <sz val="9"/>
        <rFont val="Arial"/>
        <family val="2"/>
      </rPr>
      <t>CX</t>
    </r>
    <r>
      <rPr>
        <sz val="9"/>
        <rFont val="DejaVu Sans"/>
        <family val="2"/>
      </rPr>
      <t>推進部</t>
    </r>
  </si>
  <si>
    <t>石川</t>
  </si>
  <si>
    <r>
      <rPr>
        <sz val="9"/>
        <rFont val="Arial"/>
        <family val="2"/>
      </rPr>
      <t>DB</t>
    </r>
    <r>
      <rPr>
        <sz val="9"/>
        <rFont val="DejaVu Sans"/>
        <family val="2"/>
      </rPr>
      <t>構築と</t>
    </r>
    <r>
      <rPr>
        <sz val="9"/>
        <rFont val="Arial"/>
        <family val="2"/>
      </rPr>
      <t>AI</t>
    </r>
    <r>
      <rPr>
        <sz val="9"/>
        <rFont val="DejaVu Sans"/>
        <family val="2"/>
      </rPr>
      <t>エージェント活用の検討</t>
    </r>
  </si>
  <si>
    <r>
      <rPr>
        <sz val="9"/>
        <rFont val="Arial"/>
        <family val="2"/>
      </rPr>
      <t>CODIQ</t>
    </r>
    <r>
      <rPr>
        <sz val="9"/>
        <rFont val="DejaVu Sans"/>
        <family val="2"/>
      </rPr>
      <t xml:space="preserve">分析、方向性検討
</t>
    </r>
    <r>
      <rPr>
        <sz val="9"/>
        <rFont val="Arial"/>
        <family val="2"/>
      </rPr>
      <t>3/18</t>
    </r>
  </si>
  <si>
    <r>
      <rPr>
        <sz val="9"/>
        <rFont val="DejaVu Sans"/>
        <family val="2"/>
      </rPr>
      <t>ツルハ</t>
    </r>
    <r>
      <rPr>
        <sz val="9"/>
        <rFont val="Arial"/>
        <family val="2"/>
      </rPr>
      <t>AI</t>
    </r>
    <r>
      <rPr>
        <sz val="9"/>
        <rFont val="DejaVu Sans"/>
        <family val="2"/>
      </rPr>
      <t>チャットボット導入</t>
    </r>
  </si>
  <si>
    <r>
      <rPr>
        <sz val="9"/>
        <rFont val="Arial"/>
        <family val="2"/>
      </rPr>
      <t>Knowledge Forest
TeachMeBiz</t>
    </r>
    <r>
      <rPr>
        <sz val="9"/>
        <rFont val="DejaVu Sans"/>
        <family val="2"/>
      </rPr>
      <t xml:space="preserve">廃止
</t>
    </r>
    <r>
      <rPr>
        <sz val="9"/>
        <rFont val="Arial"/>
        <family val="2"/>
      </rPr>
      <t>RAG
MCP</t>
    </r>
  </si>
  <si>
    <r>
      <t>THD</t>
    </r>
    <r>
      <rPr>
        <sz val="9"/>
        <rFont val="ＭＳ ゴシック"/>
        <family val="3"/>
        <charset val="128"/>
      </rPr>
      <t>、</t>
    </r>
    <r>
      <rPr>
        <sz val="9"/>
        <rFont val="Arial"/>
        <family val="2"/>
      </rPr>
      <t>NEC</t>
    </r>
    <r>
      <rPr>
        <sz val="9"/>
        <rFont val="ＭＳ ゴシック"/>
        <family val="3"/>
        <charset val="128"/>
      </rPr>
      <t>で作成した</t>
    </r>
    <r>
      <rPr>
        <sz val="9"/>
        <rFont val="Arial"/>
        <family val="2"/>
      </rPr>
      <t>AI</t>
    </r>
    <r>
      <rPr>
        <sz val="9"/>
        <rFont val="ＭＳ ゴシック"/>
        <family val="3"/>
        <charset val="128"/>
      </rPr>
      <t>チャットボット
杏林堂には改修可能な開発スペース
マニュアル精査等は</t>
    </r>
    <r>
      <rPr>
        <sz val="9"/>
        <rFont val="Arial"/>
        <family val="2"/>
      </rPr>
      <t>THD</t>
    </r>
    <r>
      <rPr>
        <sz val="9"/>
        <rFont val="ＭＳ ゴシック"/>
        <family val="3"/>
        <charset val="128"/>
      </rPr>
      <t>業務改革</t>
    </r>
    <r>
      <rPr>
        <sz val="9"/>
        <rFont val="Arial"/>
        <family val="2"/>
      </rPr>
      <t>G</t>
    </r>
    <r>
      <rPr>
        <sz val="9"/>
        <rFont val="ＭＳ ゴシック"/>
        <family val="3"/>
        <charset val="128"/>
      </rPr>
      <t xml:space="preserve">が指導
</t>
    </r>
    <r>
      <rPr>
        <sz val="9"/>
        <rFont val="Arial"/>
        <family val="2"/>
      </rPr>
      <t>Claude Code</t>
    </r>
    <r>
      <rPr>
        <sz val="9"/>
        <rFont val="ＭＳ ゴシック"/>
        <family val="3"/>
        <charset val="128"/>
      </rPr>
      <t>ライセンス追加</t>
    </r>
    <phoneticPr fontId="15"/>
  </si>
  <si>
    <r>
      <rPr>
        <sz val="9"/>
        <rFont val="ＭＳ Ｐゴシック"/>
        <family val="2"/>
        <charset val="128"/>
      </rPr>
      <t>・ツルハ：</t>
    </r>
    <r>
      <rPr>
        <sz val="9"/>
        <rFont val="Arial"/>
        <family val="2"/>
      </rPr>
      <t>2026</t>
    </r>
    <r>
      <rPr>
        <sz val="9"/>
        <rFont val="ＭＳ Ｐゴシック"/>
        <family val="2"/>
        <charset val="128"/>
      </rPr>
      <t>年</t>
    </r>
    <r>
      <rPr>
        <sz val="9"/>
        <rFont val="Arial"/>
        <family val="2"/>
      </rPr>
      <t>5</t>
    </r>
    <r>
      <rPr>
        <sz val="9"/>
        <rFont val="ＭＳ Ｐゴシック"/>
        <family val="2"/>
        <charset val="128"/>
      </rPr>
      <t>月リリース予定</t>
    </r>
    <r>
      <rPr>
        <sz val="9"/>
        <rFont val="Arial"/>
        <family val="2"/>
      </rPr>
      <t xml:space="preserve">
</t>
    </r>
    <r>
      <rPr>
        <sz val="9"/>
        <rFont val="ＭＳ Ｐゴシック"/>
        <family val="2"/>
        <charset val="128"/>
      </rPr>
      <t>・杏林堂：</t>
    </r>
    <r>
      <rPr>
        <sz val="9"/>
        <rFont val="Arial"/>
        <family val="2"/>
      </rPr>
      <t>2026</t>
    </r>
    <r>
      <rPr>
        <sz val="9"/>
        <rFont val="ＭＳ Ｐゴシック"/>
        <family val="2"/>
        <charset val="128"/>
      </rPr>
      <t>年</t>
    </r>
    <r>
      <rPr>
        <sz val="9"/>
        <rFont val="Arial"/>
        <family val="2"/>
      </rPr>
      <t>9</t>
    </r>
    <r>
      <rPr>
        <sz val="9"/>
        <rFont val="ＭＳ Ｐゴシック"/>
        <family val="2"/>
        <charset val="128"/>
      </rPr>
      <t>月リリース目標</t>
    </r>
    <phoneticPr fontId="15"/>
  </si>
  <si>
    <r>
      <rPr>
        <sz val="9"/>
        <rFont val="Arial"/>
        <family val="2"/>
      </rPr>
      <t>CX</t>
    </r>
    <r>
      <rPr>
        <sz val="9"/>
        <rFont val="DejaVu Sans"/>
        <family val="2"/>
      </rPr>
      <t xml:space="preserve">推進部
店舗運営部
</t>
    </r>
    <r>
      <rPr>
        <sz val="9"/>
        <rFont val="Arial"/>
        <family val="2"/>
      </rPr>
      <t>THD</t>
    </r>
    <r>
      <rPr>
        <sz val="9"/>
        <rFont val="DejaVu Sans"/>
        <family val="2"/>
      </rPr>
      <t>経営企画部</t>
    </r>
  </si>
  <si>
    <t>足立
鈴木孝</t>
  </si>
  <si>
    <r>
      <rPr>
        <sz val="9"/>
        <rFont val="DejaVu Sans"/>
        <family val="2"/>
      </rPr>
      <t>チャットボット応答精度、対応範囲決め
調剤部適応、労務</t>
    </r>
    <r>
      <rPr>
        <sz val="9"/>
        <rFont val="Arial"/>
        <family val="2"/>
      </rPr>
      <t>smartHR</t>
    </r>
    <r>
      <rPr>
        <sz val="9"/>
        <rFont val="DejaVu Sans"/>
        <family val="2"/>
      </rPr>
      <t xml:space="preserve">とのすみわけ
</t>
    </r>
    <r>
      <rPr>
        <sz val="9"/>
        <rFont val="Arial"/>
        <family val="2"/>
      </rPr>
      <t>TeachMeBiz</t>
    </r>
    <r>
      <rPr>
        <sz val="9"/>
        <rFont val="DejaVu Sans"/>
        <family val="2"/>
      </rPr>
      <t>廃止→マニュアル格納場所検討
マニュアル</t>
    </r>
    <r>
      <rPr>
        <sz val="9"/>
        <rFont val="Arial"/>
        <family val="2"/>
      </rPr>
      <t>/QA</t>
    </r>
    <r>
      <rPr>
        <sz val="9"/>
        <rFont val="DejaVu Sans"/>
        <family val="2"/>
      </rPr>
      <t>対応しやすい</t>
    </r>
    <r>
      <rPr>
        <sz val="9"/>
        <rFont val="Arial"/>
        <family val="2"/>
      </rPr>
      <t>AI</t>
    </r>
    <r>
      <rPr>
        <sz val="9"/>
        <rFont val="DejaVu Sans"/>
        <family val="2"/>
      </rPr>
      <t>エージェントの模索（</t>
    </r>
    <r>
      <rPr>
        <sz val="9"/>
        <rFont val="Arial"/>
        <family val="2"/>
      </rPr>
      <t>VINX</t>
    </r>
    <r>
      <rPr>
        <sz val="9"/>
        <rFont val="DejaVu Sans"/>
        <family val="2"/>
      </rPr>
      <t>）</t>
    </r>
  </si>
  <si>
    <r>
      <rPr>
        <sz val="9"/>
        <rFont val="DejaVu Sans"/>
        <family val="2"/>
      </rPr>
      <t xml:space="preserve">マニュアル精査
標準的なチャットボットのアーキテクト確認
</t>
    </r>
    <r>
      <rPr>
        <sz val="9"/>
        <rFont val="Arial"/>
        <family val="2"/>
      </rPr>
      <t>JAPAN AI</t>
    </r>
    <r>
      <rPr>
        <sz val="9"/>
        <rFont val="DejaVu Sans"/>
        <family val="2"/>
      </rPr>
      <t>との比較</t>
    </r>
  </si>
  <si>
    <t>店舗出店予測の向上</t>
  </si>
  <si>
    <r>
      <rPr>
        <sz val="9"/>
        <rFont val="DejaVu Sans"/>
        <family val="2"/>
      </rPr>
      <t xml:space="preserve">店舗出店予測
</t>
    </r>
    <r>
      <rPr>
        <sz val="9"/>
        <rFont val="Arial"/>
        <family val="2"/>
      </rPr>
      <t>SalesSencer</t>
    </r>
  </si>
  <si>
    <r>
      <rPr>
        <sz val="9"/>
        <rFont val="DejaVu Sans"/>
        <family val="2"/>
      </rPr>
      <t>ウエルシア</t>
    </r>
    <r>
      <rPr>
        <sz val="9"/>
        <rFont val="Arial"/>
        <family val="2"/>
      </rPr>
      <t>Truedata</t>
    </r>
    <r>
      <rPr>
        <sz val="9"/>
        <rFont val="DejaVu Sans"/>
        <family val="2"/>
      </rPr>
      <t>社</t>
    </r>
    <r>
      <rPr>
        <sz val="9"/>
        <rFont val="Arial"/>
        <family val="2"/>
      </rPr>
      <t>SalesSencer</t>
    </r>
    <r>
      <rPr>
        <sz val="9"/>
        <rFont val="DejaVu Sans"/>
        <family val="2"/>
      </rPr>
      <t xml:space="preserve">の導入
</t>
    </r>
    <r>
      <rPr>
        <sz val="9"/>
        <rFont val="Arial"/>
        <family val="2"/>
      </rPr>
      <t>IC</t>
    </r>
    <r>
      <rPr>
        <sz val="9"/>
        <rFont val="DejaVu Sans"/>
        <family val="2"/>
      </rPr>
      <t>約</t>
    </r>
    <r>
      <rPr>
        <sz val="9"/>
        <rFont val="Arial"/>
        <family val="2"/>
      </rPr>
      <t>3000</t>
    </r>
    <r>
      <rPr>
        <sz val="9"/>
        <rFont val="DejaVu Sans"/>
        <family val="2"/>
      </rPr>
      <t>万円、</t>
    </r>
    <r>
      <rPr>
        <sz val="9"/>
        <rFont val="Arial"/>
        <family val="2"/>
      </rPr>
      <t>RC</t>
    </r>
    <r>
      <rPr>
        <sz val="9"/>
        <rFont val="DejaVu Sans"/>
        <family val="2"/>
      </rPr>
      <t>約</t>
    </r>
    <r>
      <rPr>
        <sz val="9"/>
        <rFont val="Arial"/>
        <family val="2"/>
      </rPr>
      <t>3500</t>
    </r>
    <r>
      <rPr>
        <sz val="9"/>
        <rFont val="DejaVu Sans"/>
        <family val="2"/>
      </rPr>
      <t xml:space="preserve">万円
</t>
    </r>
    <r>
      <rPr>
        <sz val="9"/>
        <rFont val="Arial"/>
        <family val="2"/>
      </rPr>
      <t>AI</t>
    </r>
    <r>
      <rPr>
        <sz val="9"/>
        <rFont val="DejaVu Sans"/>
        <family val="2"/>
      </rPr>
      <t>エージェント作成（</t>
    </r>
    <r>
      <rPr>
        <sz val="9"/>
        <rFont val="Arial"/>
        <family val="2"/>
      </rPr>
      <t>CODIQ</t>
    </r>
    <r>
      <rPr>
        <sz val="9"/>
        <rFont val="DejaVu Sans"/>
        <family val="2"/>
      </rPr>
      <t>）</t>
    </r>
  </si>
  <si>
    <t>店舗開発本部
経営戦略本部</t>
  </si>
  <si>
    <t>石川
足立</t>
  </si>
  <si>
    <t>未着手</t>
  </si>
  <si>
    <r>
      <rPr>
        <sz val="9"/>
        <rFont val="DejaVu Sans"/>
        <family val="2"/>
      </rPr>
      <t>予測精度向上</t>
    </r>
    <r>
      <rPr>
        <sz val="9"/>
        <rFont val="Arial"/>
        <family val="2"/>
      </rPr>
      <t>5%</t>
    </r>
    <r>
      <rPr>
        <sz val="9"/>
        <rFont val="DejaVu Sans"/>
        <family val="2"/>
      </rPr>
      <t>まで
（現状：</t>
    </r>
    <r>
      <rPr>
        <sz val="9"/>
        <rFont val="Arial"/>
        <family val="2"/>
      </rPr>
      <t>25%</t>
    </r>
    <r>
      <rPr>
        <sz val="9"/>
        <rFont val="DejaVu Sans"/>
        <family val="2"/>
      </rPr>
      <t>～</t>
    </r>
    <r>
      <rPr>
        <sz val="9"/>
        <rFont val="Arial"/>
        <family val="2"/>
      </rPr>
      <t>40%</t>
    </r>
    <r>
      <rPr>
        <sz val="9"/>
        <rFont val="DejaVu Sans"/>
        <family val="2"/>
      </rPr>
      <t>、</t>
    </r>
    <r>
      <rPr>
        <sz val="9"/>
        <rFont val="Arial"/>
        <family val="2"/>
      </rPr>
      <t>SalesSencer</t>
    </r>
    <r>
      <rPr>
        <sz val="9"/>
        <rFont val="DejaVu Sans"/>
        <family val="2"/>
      </rPr>
      <t>：</t>
    </r>
    <r>
      <rPr>
        <sz val="9"/>
        <rFont val="Arial"/>
        <family val="2"/>
      </rPr>
      <t>10%</t>
    </r>
    <r>
      <rPr>
        <sz val="9"/>
        <rFont val="DejaVu Sans"/>
        <family val="2"/>
      </rPr>
      <t>）</t>
    </r>
  </si>
  <si>
    <r>
      <rPr>
        <sz val="9"/>
        <rFont val="DejaVu Sans"/>
        <family val="2"/>
      </rPr>
      <t>ツルハ</t>
    </r>
    <r>
      <rPr>
        <sz val="9"/>
        <rFont val="Arial"/>
        <family val="2"/>
      </rPr>
      <t>HD</t>
    </r>
    <r>
      <rPr>
        <sz val="9"/>
        <rFont val="DejaVu Sans"/>
        <family val="2"/>
      </rPr>
      <t>取締役会決議事項（ツルハ</t>
    </r>
    <r>
      <rPr>
        <sz val="9"/>
        <rFont val="Arial"/>
        <family val="2"/>
      </rPr>
      <t>HD</t>
    </r>
    <r>
      <rPr>
        <sz val="9"/>
        <rFont val="DejaVu Sans"/>
        <family val="2"/>
      </rPr>
      <t xml:space="preserve">開発本部長　遠山取締役　上申予定）
</t>
    </r>
    <r>
      <rPr>
        <sz val="9"/>
        <rFont val="Arial"/>
        <family val="2"/>
      </rPr>
      <t>CODIQ</t>
    </r>
    <r>
      <rPr>
        <sz val="9"/>
        <rFont val="DejaVu Sans"/>
        <family val="2"/>
      </rPr>
      <t>にて過去データより別途活用方法検討</t>
    </r>
  </si>
  <si>
    <t>勤務割、ワークフロー</t>
  </si>
  <si>
    <t>ワークフロー</t>
  </si>
  <si>
    <r>
      <rPr>
        <sz val="9"/>
        <rFont val="Arial"/>
        <family val="2"/>
      </rPr>
      <t>EXCEL</t>
    </r>
    <r>
      <rPr>
        <sz val="9"/>
        <rFont val="DejaVu Sans"/>
        <family val="2"/>
      </rPr>
      <t xml:space="preserve">マクロによる
・ワークフロー作成の効率化
</t>
    </r>
    <r>
      <rPr>
        <sz val="9"/>
        <rFont val="Arial"/>
        <family val="2"/>
      </rPr>
      <t>×R-Shift</t>
    </r>
  </si>
  <si>
    <t>物販
調剤
ネットスーパー</t>
  </si>
  <si>
    <t>横井
鈴木孝</t>
  </si>
  <si>
    <r>
      <rPr>
        <sz val="9"/>
        <rFont val="DejaVu Sans"/>
        <family val="2"/>
      </rPr>
      <t>・ワークスケジュール</t>
    </r>
    <r>
      <rPr>
        <sz val="9"/>
        <rFont val="Arial"/>
        <family val="2"/>
      </rPr>
      <t>AI</t>
    </r>
    <r>
      <rPr>
        <sz val="9"/>
        <rFont val="DejaVu Sans"/>
        <family val="2"/>
      </rPr>
      <t>エージェントまたはアプリの導入
・感情加味したシフト作成
調剤：調整機能必要</t>
    </r>
  </si>
  <si>
    <r>
      <rPr>
        <sz val="9"/>
        <rFont val="DejaVu Sans"/>
        <family val="2"/>
      </rPr>
      <t>・</t>
    </r>
    <r>
      <rPr>
        <sz val="9"/>
        <rFont val="Arial"/>
        <family val="2"/>
      </rPr>
      <t>CODIQ</t>
    </r>
    <r>
      <rPr>
        <sz val="9"/>
        <rFont val="DejaVu Sans"/>
        <family val="2"/>
      </rPr>
      <t>相談中
・ワークフローアプリ調査中</t>
    </r>
  </si>
  <si>
    <t>店舗応援依頼作業の最適化、省人化</t>
  </si>
  <si>
    <t>応援マッチング</t>
  </si>
  <si>
    <r>
      <rPr>
        <sz val="9"/>
        <rFont val="Arial"/>
        <family val="2"/>
      </rPr>
      <t>EXCEL</t>
    </r>
    <r>
      <rPr>
        <sz val="9"/>
        <rFont val="DejaVu Sans"/>
        <family val="2"/>
      </rPr>
      <t>マクロによる
・店舗応援の効率化</t>
    </r>
  </si>
  <si>
    <t>調剤部は5月より順次に運用を開始予定</t>
    <rPh sb="0" eb="2">
      <t>チョウザイ</t>
    </rPh>
    <rPh sb="2" eb="3">
      <t>ブ</t>
    </rPh>
    <rPh sb="5" eb="6">
      <t>ガツ</t>
    </rPh>
    <rPh sb="8" eb="10">
      <t>ジュンジ</t>
    </rPh>
    <rPh sb="11" eb="13">
      <t>ウンヨウ</t>
    </rPh>
    <rPh sb="14" eb="18">
      <t>カイシヨテイ</t>
    </rPh>
    <phoneticPr fontId="15"/>
  </si>
  <si>
    <r>
      <rPr>
        <sz val="9"/>
        <rFont val="DejaVu Sans"/>
        <family val="2"/>
      </rPr>
      <t>・応援計算ツール　</t>
    </r>
    <r>
      <rPr>
        <sz val="9"/>
        <rFont val="Arial"/>
        <family val="2"/>
      </rPr>
      <t>EXCEL</t>
    </r>
    <r>
      <rPr>
        <sz val="9"/>
        <rFont val="DejaVu Sans"/>
        <family val="2"/>
      </rPr>
      <t>マクロ調剤調整中
　→調剤：</t>
    </r>
    <r>
      <rPr>
        <sz val="9"/>
        <rFont val="Arial"/>
        <family val="2"/>
      </rPr>
      <t>15</t>
    </r>
    <r>
      <rPr>
        <sz val="9"/>
        <rFont val="DejaVu Sans"/>
        <family val="2"/>
      </rPr>
      <t>日までシフト作成、</t>
    </r>
    <r>
      <rPr>
        <sz val="9"/>
        <rFont val="Arial"/>
        <family val="2"/>
      </rPr>
      <t>16</t>
    </r>
    <r>
      <rPr>
        <sz val="9"/>
        <rFont val="DejaVu Sans"/>
        <family val="2"/>
      </rPr>
      <t>日ツール使用の運用
　→物販：運用可能か確認中</t>
    </r>
  </si>
  <si>
    <r>
      <rPr>
        <sz val="9"/>
        <rFont val="DejaVu Sans"/>
        <family val="2"/>
      </rPr>
      <t>・応援マッチング　マクロ改修、運用調整
・</t>
    </r>
    <r>
      <rPr>
        <sz val="9"/>
        <rFont val="Arial"/>
        <family val="2"/>
      </rPr>
      <t>CODIQ</t>
    </r>
    <r>
      <rPr>
        <sz val="9"/>
        <rFont val="DejaVu Sans"/>
        <family val="2"/>
      </rPr>
      <t>相談中</t>
    </r>
  </si>
  <si>
    <t>経理月次締め処理の清流化</t>
  </si>
  <si>
    <t>経理締め処理</t>
  </si>
  <si>
    <r>
      <rPr>
        <sz val="9"/>
        <rFont val="DejaVu Sans"/>
        <family val="2"/>
      </rPr>
      <t xml:space="preserve">属人化作業を廃止して清流化する
</t>
    </r>
    <r>
      <rPr>
        <sz val="9"/>
        <rFont val="Arial"/>
        <family val="2"/>
      </rPr>
      <t>2026</t>
    </r>
    <r>
      <rPr>
        <sz val="9"/>
        <rFont val="DejaVu Sans"/>
        <family val="2"/>
      </rPr>
      <t>年</t>
    </r>
    <r>
      <rPr>
        <sz val="9"/>
        <rFont val="Arial"/>
        <family val="2"/>
      </rPr>
      <t>5</t>
    </r>
    <r>
      <rPr>
        <sz val="9"/>
        <rFont val="DejaVu Sans"/>
        <family val="2"/>
      </rPr>
      <t>月まで</t>
    </r>
  </si>
  <si>
    <r>
      <rPr>
        <sz val="9"/>
        <rFont val="DejaVu Sans"/>
        <family val="2"/>
      </rPr>
      <t xml:space="preserve">経理
情報システム
</t>
    </r>
    <r>
      <rPr>
        <sz val="9"/>
        <rFont val="Arial"/>
        <family val="2"/>
      </rPr>
      <t>CX</t>
    </r>
    <r>
      <rPr>
        <sz val="9"/>
        <rFont val="DejaVu Sans"/>
        <family val="2"/>
      </rPr>
      <t>推進部</t>
    </r>
  </si>
  <si>
    <r>
      <rPr>
        <sz val="9"/>
        <rFont val="DejaVu Sans"/>
        <family val="2"/>
      </rPr>
      <t>・属人化業務（高山さん</t>
    </r>
    <r>
      <rPr>
        <sz val="9"/>
        <rFont val="Arial"/>
        <family val="2"/>
      </rPr>
      <t>PG</t>
    </r>
    <r>
      <rPr>
        <sz val="9"/>
        <rFont val="DejaVu Sans"/>
        <family val="2"/>
      </rPr>
      <t>）の共通化</t>
    </r>
  </si>
  <si>
    <r>
      <rPr>
        <sz val="9"/>
        <rFont val="DejaVu Sans"/>
        <family val="2"/>
      </rPr>
      <t>・経理</t>
    </r>
    <r>
      <rPr>
        <sz val="9"/>
        <rFont val="Arial"/>
        <family val="2"/>
      </rPr>
      <t>Martsolution</t>
    </r>
    <r>
      <rPr>
        <sz val="9"/>
        <rFont val="DejaVu Sans"/>
        <family val="2"/>
      </rPr>
      <t>業務落とし込み
・高山さん</t>
    </r>
    <r>
      <rPr>
        <sz val="9"/>
        <rFont val="Arial"/>
        <family val="2"/>
      </rPr>
      <t>PG</t>
    </r>
    <r>
      <rPr>
        <sz val="9"/>
        <rFont val="DejaVu Sans"/>
        <family val="2"/>
      </rPr>
      <t>対応</t>
    </r>
  </si>
  <si>
    <t>店舗連絡のルールメイキング</t>
  </si>
  <si>
    <r>
      <rPr>
        <sz val="9"/>
        <rFont val="DejaVu Sans"/>
        <family val="2"/>
      </rPr>
      <t>連絡ルール統一</t>
    </r>
    <r>
      <rPr>
        <sz val="9"/>
        <rFont val="Arial"/>
        <family val="2"/>
      </rPr>
      <t>PJ</t>
    </r>
  </si>
  <si>
    <t>メール件名のルール作成
わかりやすい件名にして店舗連絡精度を向上</t>
  </si>
  <si>
    <r>
      <rPr>
        <sz val="9"/>
        <rFont val="Arial"/>
        <family val="2"/>
      </rPr>
      <t>mailto</t>
    </r>
    <r>
      <rPr>
        <sz val="9"/>
        <rFont val="DejaVu Sans"/>
        <family val="2"/>
      </rPr>
      <t>環境依存度の確認
労務：「通達」と「辞令（社報）」</t>
    </r>
  </si>
  <si>
    <r>
      <rPr>
        <sz val="9"/>
        <rFont val="DejaVu Sans"/>
        <family val="2"/>
      </rPr>
      <t xml:space="preserve">・各部意見集約
</t>
    </r>
    <r>
      <rPr>
        <sz val="9"/>
        <rFont val="Arial"/>
        <family val="2"/>
      </rPr>
      <t>4/14</t>
    </r>
    <r>
      <rPr>
        <sz val="9"/>
        <rFont val="DejaVu Sans"/>
        <family val="2"/>
      </rPr>
      <t>：打ち合わせ</t>
    </r>
  </si>
  <si>
    <r>
      <rPr>
        <sz val="9"/>
        <rFont val="Arial"/>
        <family val="2"/>
      </rPr>
      <t>AI</t>
    </r>
    <r>
      <rPr>
        <sz val="9"/>
        <rFont val="DejaVu Sans"/>
        <family val="2"/>
      </rPr>
      <t>棚割導入</t>
    </r>
  </si>
  <si>
    <r>
      <rPr>
        <sz val="9"/>
        <rFont val="Arial"/>
        <family val="2"/>
      </rPr>
      <t xml:space="preserve">Tanagram
Sotoremaneger
</t>
    </r>
    <r>
      <rPr>
        <sz val="9"/>
        <rFont val="DejaVu Sans"/>
        <family val="2"/>
      </rPr>
      <t>プリファード</t>
    </r>
    <r>
      <rPr>
        <sz val="9"/>
        <rFont val="Arial"/>
        <family val="2"/>
      </rPr>
      <t>NW</t>
    </r>
  </si>
  <si>
    <r>
      <rPr>
        <sz val="9"/>
        <rFont val="DejaVu Sans"/>
        <family val="2"/>
      </rPr>
      <t>エンド、プロモの棚割り（全店約</t>
    </r>
    <r>
      <rPr>
        <sz val="9"/>
        <rFont val="Arial"/>
        <family val="2"/>
      </rPr>
      <t>1</t>
    </r>
    <r>
      <rPr>
        <sz val="9"/>
        <rFont val="DejaVu Sans"/>
        <family val="2"/>
      </rPr>
      <t>万本）作成
ストマネ</t>
    </r>
    <r>
      <rPr>
        <sz val="9"/>
        <rFont val="Arial"/>
        <family val="2"/>
      </rPr>
      <t>AI</t>
    </r>
    <r>
      <rPr>
        <sz val="9"/>
        <rFont val="DejaVu Sans"/>
        <family val="2"/>
      </rPr>
      <t>の検討
写真から棚割り作成（店舗入替後の入力軽減）</t>
    </r>
  </si>
  <si>
    <t>商品部</t>
  </si>
  <si>
    <r>
      <rPr>
        <sz val="9"/>
        <rFont val="DejaVu Sans"/>
        <family val="2"/>
      </rPr>
      <t>作成精度
運用方法（都度</t>
    </r>
    <r>
      <rPr>
        <sz val="9"/>
        <rFont val="Arial"/>
        <family val="2"/>
      </rPr>
      <t>CSV</t>
    </r>
    <r>
      <rPr>
        <sz val="9"/>
        <rFont val="DejaVu Sans"/>
        <family val="2"/>
      </rPr>
      <t>ファイルを手動で取込しなければならない）</t>
    </r>
  </si>
  <si>
    <r>
      <rPr>
        <sz val="9"/>
        <rFont val="DejaVu Sans"/>
        <family val="2"/>
      </rPr>
      <t>・花王</t>
    </r>
    <r>
      <rPr>
        <sz val="9"/>
        <rFont val="Arial"/>
        <family val="2"/>
      </rPr>
      <t>AI</t>
    </r>
    <r>
      <rPr>
        <sz val="9"/>
        <rFont val="DejaVu Sans"/>
        <family val="2"/>
      </rPr>
      <t>棚割り確認
　→川島さんへ
・プリファード</t>
    </r>
    <r>
      <rPr>
        <sz val="9"/>
        <rFont val="Arial"/>
        <family val="2"/>
      </rPr>
      <t>NW</t>
    </r>
    <r>
      <rPr>
        <sz val="9"/>
        <rFont val="DejaVu Sans"/>
        <family val="2"/>
      </rPr>
      <t>の紹介
　→商品部、店舗運営部</t>
    </r>
  </si>
  <si>
    <r>
      <rPr>
        <sz val="9"/>
        <rFont val="Arial"/>
        <family val="2"/>
      </rPr>
      <t>KOGORO</t>
    </r>
    <r>
      <rPr>
        <sz val="9"/>
        <rFont val="DejaVu Sans"/>
        <family val="2"/>
      </rPr>
      <t>改修</t>
    </r>
  </si>
  <si>
    <t>KOGORO</t>
  </si>
  <si>
    <t>・商品部、営業推進部のレポートを帳票にする
・日次予算作成ロジック改修
・カテゴリー変更後実績反映ロジック
・正味売上粗利</t>
  </si>
  <si>
    <r>
      <rPr>
        <sz val="9"/>
        <rFont val="Arial"/>
        <family val="2"/>
      </rPr>
      <t>CX</t>
    </r>
    <r>
      <rPr>
        <sz val="9"/>
        <rFont val="DejaVu Sans"/>
        <family val="2"/>
      </rPr>
      <t>推進部
商品部
店舗運営部
経営企画部</t>
    </r>
  </si>
  <si>
    <r>
      <rPr>
        <sz val="9"/>
        <rFont val="DejaVu Sans"/>
        <family val="2"/>
      </rPr>
      <t>神戸</t>
    </r>
    <r>
      <rPr>
        <sz val="9"/>
        <rFont val="Arial"/>
        <family val="2"/>
      </rPr>
      <t>DC</t>
    </r>
    <r>
      <rPr>
        <sz val="9"/>
        <rFont val="DejaVu Sans"/>
        <family val="2"/>
      </rPr>
      <t>へのサーバー移行スケジュール未確定（発注から</t>
    </r>
    <r>
      <rPr>
        <sz val="9"/>
        <rFont val="Arial"/>
        <family val="2"/>
      </rPr>
      <t>3</t>
    </r>
    <r>
      <rPr>
        <sz val="9"/>
        <rFont val="DejaVu Sans"/>
        <family val="2"/>
      </rPr>
      <t>か月）
開発サーバー容量不足　</t>
    </r>
    <r>
      <rPr>
        <sz val="9"/>
        <rFont val="Arial"/>
        <family val="2"/>
      </rPr>
      <t>D:200G</t>
    </r>
    <r>
      <rPr>
        <sz val="9"/>
        <rFont val="DejaVu Sans"/>
        <family val="2"/>
      </rPr>
      <t>残</t>
    </r>
    <r>
      <rPr>
        <sz val="9"/>
        <rFont val="Arial"/>
        <family val="2"/>
      </rPr>
      <t>/800G</t>
    </r>
    <r>
      <rPr>
        <sz val="9"/>
        <rFont val="DejaVu Sans"/>
        <family val="2"/>
      </rPr>
      <t>　外付け</t>
    </r>
    <r>
      <rPr>
        <sz val="9"/>
        <rFont val="Arial"/>
        <family val="2"/>
      </rPr>
      <t>SSD</t>
    </r>
    <r>
      <rPr>
        <sz val="9"/>
        <rFont val="DejaVu Sans"/>
        <family val="2"/>
      </rPr>
      <t>追加（</t>
    </r>
    <r>
      <rPr>
        <sz val="9"/>
        <rFont val="Arial"/>
        <family val="2"/>
      </rPr>
      <t>2t</t>
    </r>
    <r>
      <rPr>
        <sz val="9"/>
        <rFont val="DejaVu Sans"/>
        <family val="2"/>
      </rPr>
      <t>）</t>
    </r>
  </si>
  <si>
    <r>
      <rPr>
        <sz val="9"/>
        <rFont val="DejaVu Sans"/>
        <family val="2"/>
      </rPr>
      <t xml:space="preserve">次回要件定義
</t>
    </r>
    <r>
      <rPr>
        <sz val="9"/>
        <rFont val="Arial"/>
        <family val="2"/>
      </rPr>
      <t>3</t>
    </r>
    <r>
      <rPr>
        <sz val="9"/>
        <rFont val="DejaVu Sans"/>
        <family val="2"/>
      </rPr>
      <t xml:space="preserve">月下旬帳票レイアウト改修一部リリース
日別予算ロジック設計
</t>
    </r>
    <r>
      <rPr>
        <sz val="9"/>
        <rFont val="Arial"/>
        <family val="2"/>
      </rPr>
      <t>ETL</t>
    </r>
    <r>
      <rPr>
        <sz val="9"/>
        <rFont val="DejaVu Sans"/>
        <family val="2"/>
      </rPr>
      <t>設計</t>
    </r>
    <r>
      <rPr>
        <sz val="9"/>
        <rFont val="Arial"/>
        <family val="2"/>
      </rPr>
      <t>3</t>
    </r>
    <r>
      <rPr>
        <sz val="9"/>
        <rFont val="DejaVu Sans"/>
        <family val="2"/>
      </rPr>
      <t>月末まで→開発
ジョブスケジューリング</t>
    </r>
  </si>
  <si>
    <t>コロンボ、かみさんの更新改修</t>
  </si>
  <si>
    <t>コロンボ</t>
  </si>
  <si>
    <t>・かみさんの更新改修</t>
  </si>
  <si>
    <t>着手</t>
  </si>
  <si>
    <r>
      <rPr>
        <sz val="9"/>
        <rFont val="Arial"/>
        <family val="2"/>
      </rPr>
      <t>KOGORO</t>
    </r>
    <r>
      <rPr>
        <sz val="9"/>
        <rFont val="DejaVu Sans"/>
        <family val="2"/>
      </rPr>
      <t>と重複
かみさんの利用シーンを整理</t>
    </r>
  </si>
  <si>
    <t>仕様確認中</t>
  </si>
  <si>
    <t>内製アプリ</t>
  </si>
  <si>
    <r>
      <rPr>
        <sz val="9"/>
        <rFont val="DejaVu Sans"/>
        <family val="2"/>
      </rPr>
      <t>買取</t>
    </r>
    <r>
      <rPr>
        <sz val="9"/>
        <rFont val="Arial"/>
        <family val="2"/>
      </rPr>
      <t xml:space="preserve">DC
</t>
    </r>
    <r>
      <rPr>
        <sz val="9"/>
        <rFont val="DejaVu Sans"/>
        <family val="2"/>
      </rPr>
      <t>欠品調査</t>
    </r>
    <r>
      <rPr>
        <sz val="9"/>
        <rFont val="Arial"/>
        <family val="2"/>
      </rPr>
      <t>PG</t>
    </r>
  </si>
  <si>
    <r>
      <rPr>
        <sz val="9"/>
        <rFont val="DejaVu Sans"/>
        <family val="2"/>
      </rPr>
      <t>アプリ使用の</t>
    </r>
    <r>
      <rPr>
        <sz val="9"/>
        <rFont val="Arial"/>
        <family val="2"/>
      </rPr>
      <t>DB</t>
    </r>
    <r>
      <rPr>
        <sz val="9"/>
        <rFont val="DejaVu Sans"/>
        <family val="2"/>
      </rPr>
      <t>管理（</t>
    </r>
    <r>
      <rPr>
        <sz val="9"/>
        <rFont val="Arial"/>
        <family val="2"/>
      </rPr>
      <t>MySQL</t>
    </r>
    <r>
      <rPr>
        <sz val="9"/>
        <rFont val="DejaVu Sans"/>
        <family val="2"/>
      </rPr>
      <t>）</t>
    </r>
  </si>
  <si>
    <t>足立
石川</t>
  </si>
  <si>
    <r>
      <rPr>
        <sz val="9"/>
        <rFont val="DejaVu Sans"/>
        <family val="2"/>
      </rPr>
      <t>神戸</t>
    </r>
    <r>
      <rPr>
        <sz val="9"/>
        <rFont val="Arial"/>
        <family val="2"/>
      </rPr>
      <t>DC</t>
    </r>
    <r>
      <rPr>
        <sz val="9"/>
        <rFont val="DejaVu Sans"/>
        <family val="2"/>
      </rPr>
      <t>へのサーバー移行：</t>
    </r>
    <r>
      <rPr>
        <sz val="9"/>
        <rFont val="Arial"/>
        <family val="2"/>
      </rPr>
      <t>RedHat</t>
    </r>
    <r>
      <rPr>
        <sz val="9"/>
        <rFont val="DejaVu Sans"/>
        <family val="2"/>
      </rPr>
      <t>がない</t>
    </r>
  </si>
  <si>
    <r>
      <rPr>
        <sz val="9"/>
        <rFont val="Arial"/>
        <family val="2"/>
      </rPr>
      <t>VoC</t>
    </r>
    <r>
      <rPr>
        <sz val="9"/>
        <rFont val="DejaVu Sans"/>
        <family val="2"/>
      </rPr>
      <t>収集</t>
    </r>
  </si>
  <si>
    <t>お客様の声</t>
  </si>
  <si>
    <r>
      <rPr>
        <sz val="9"/>
        <color rgb="FF000000"/>
        <rFont val="Arial"/>
      </rPr>
      <t>VoC</t>
    </r>
    <r>
      <rPr>
        <sz val="9"/>
        <color rgb="FF000000"/>
        <rFont val="DejaVu Sans"/>
      </rPr>
      <t>収集→分類→改善のサイクル設計、顧客体験指標の運用
まじかまじボイス
・クレーム
・商品要望
・本社宛クレーム→</t>
    </r>
    <r>
      <rPr>
        <sz val="9"/>
        <color rgb="FF000000"/>
        <rFont val="Arial"/>
      </rPr>
      <t>THD</t>
    </r>
    <r>
      <rPr>
        <sz val="9"/>
        <color rgb="FF000000"/>
        <rFont val="DejaVu Sans"/>
      </rPr>
      <t>報告
イオングループ：SalesForece
博報堂　アソボーノ　生成AI活用サービス</t>
    </r>
  </si>
  <si>
    <r>
      <rPr>
        <sz val="9"/>
        <color rgb="FF000000"/>
        <rFont val="Arial"/>
      </rPr>
      <t>CX</t>
    </r>
    <r>
      <rPr>
        <sz val="9"/>
        <color rgb="FF000000"/>
        <rFont val="DejaVu Sans"/>
      </rPr>
      <t>推進部
業務推進部
お客様相談室</t>
    </r>
  </si>
  <si>
    <t>鈴木孝
石川
齋藤
鈴木佑</t>
  </si>
  <si>
    <r>
      <rPr>
        <sz val="9"/>
        <color rgb="FF000000"/>
        <rFont val="DejaVu Sans"/>
      </rPr>
      <t>お客様の声
・お客様相談室　</t>
    </r>
    <r>
      <rPr>
        <sz val="9"/>
        <color rgb="FF000000"/>
        <rFont val="Arial"/>
      </rPr>
      <t xml:space="preserve">HP
</t>
    </r>
    <r>
      <rPr>
        <sz val="9"/>
        <color rgb="FF000000"/>
        <rFont val="DejaVu Sans"/>
      </rPr>
      <t>・ポイント管理事務局
・店舗紙→</t>
    </r>
    <r>
      <rPr>
        <sz val="9"/>
        <color rgb="FF000000"/>
        <rFont val="Arial"/>
      </rPr>
      <t>AI</t>
    </r>
    <r>
      <rPr>
        <sz val="9"/>
        <color rgb="FF000000"/>
        <rFont val="DejaVu Sans"/>
      </rPr>
      <t>ー</t>
    </r>
    <r>
      <rPr>
        <sz val="9"/>
        <color rgb="FF000000"/>
        <rFont val="Arial"/>
      </rPr>
      <t xml:space="preserve">OCR
</t>
    </r>
    <r>
      <rPr>
        <sz val="9"/>
        <color rgb="FF000000"/>
        <rFont val="DejaVu Sans"/>
      </rPr>
      <t>・</t>
    </r>
    <r>
      <rPr>
        <sz val="9"/>
        <color rgb="FF000000"/>
        <rFont val="Arial"/>
      </rPr>
      <t>QR</t>
    </r>
    <r>
      <rPr>
        <sz val="9"/>
        <color rgb="FF000000"/>
        <rFont val="DejaVu Sans"/>
      </rPr>
      <t>コード　アンケートフォーム
・掲示方法
店舗の返信内容の改善（お客様相談室）
・商品仕入れの依頼時に他の商品をお勧めしない
・過去の返信内容がわからない→Gemini活用
履歴管理が不徹底</t>
    </r>
  </si>
  <si>
    <t>静岡支社で検証　キックオフ調整中
お客様の声の返信フロー</t>
  </si>
  <si>
    <r>
      <rPr>
        <sz val="9"/>
        <rFont val="Arial"/>
        <family val="2"/>
      </rPr>
      <t>RPA</t>
    </r>
    <r>
      <rPr>
        <sz val="9"/>
        <rFont val="DejaVu Sans"/>
        <family val="2"/>
      </rPr>
      <t>統合、スリム化して対応範囲を広げる</t>
    </r>
  </si>
  <si>
    <t>RPA</t>
  </si>
  <si>
    <r>
      <rPr>
        <sz val="9"/>
        <rFont val="DejaVu Sans"/>
        <family val="2"/>
      </rPr>
      <t>・営業推進タスク精査
・日次生産性</t>
    </r>
    <r>
      <rPr>
        <sz val="9"/>
        <rFont val="Arial"/>
        <family val="2"/>
      </rPr>
      <t xml:space="preserve">Power BI
</t>
    </r>
    <r>
      <rPr>
        <sz val="9"/>
        <rFont val="DejaVu Sans"/>
        <family val="2"/>
      </rPr>
      <t>・労務</t>
    </r>
    <r>
      <rPr>
        <sz val="9"/>
        <rFont val="Arial"/>
        <family val="2"/>
      </rPr>
      <t xml:space="preserve">RPA
</t>
    </r>
    <r>
      <rPr>
        <sz val="9"/>
        <rFont val="DejaVu Sans"/>
        <family val="2"/>
      </rPr>
      <t>コスト：</t>
    </r>
    <r>
      <rPr>
        <sz val="9"/>
        <rFont val="Arial"/>
        <family val="2"/>
      </rPr>
      <t>169,400</t>
    </r>
    <r>
      <rPr>
        <sz val="9"/>
        <rFont val="DejaVu Sans"/>
        <family val="2"/>
      </rPr>
      <t>円／月</t>
    </r>
  </si>
  <si>
    <t>個人向けタスクの精査</t>
  </si>
  <si>
    <t>コミュニケーション基盤</t>
  </si>
  <si>
    <r>
      <rPr>
        <sz val="9"/>
        <rFont val="Arial"/>
        <family val="2"/>
      </rPr>
      <t>MS</t>
    </r>
    <r>
      <rPr>
        <sz val="9"/>
        <rFont val="DejaVu Sans"/>
        <family val="2"/>
      </rPr>
      <t>ライセンス</t>
    </r>
  </si>
  <si>
    <r>
      <rPr>
        <sz val="9"/>
        <rFont val="Arial"/>
        <family val="2"/>
      </rPr>
      <t xml:space="preserve">1. </t>
    </r>
    <r>
      <rPr>
        <sz val="9"/>
        <rFont val="DejaVu Sans"/>
        <family val="2"/>
      </rPr>
      <t xml:space="preserve">組織の情報共有のリアルタイム化（属人化を防ぎ、組織の情報資産を可視化）
</t>
    </r>
    <r>
      <rPr>
        <sz val="9"/>
        <rFont val="Arial"/>
        <family val="2"/>
      </rPr>
      <t xml:space="preserve">2. </t>
    </r>
    <r>
      <rPr>
        <sz val="9"/>
        <rFont val="DejaVu Sans"/>
        <family val="2"/>
      </rPr>
      <t xml:space="preserve">部門・拠点を超えたコラボレーション促進（サイロ化結合、スピードを向上）
</t>
    </r>
    <r>
      <rPr>
        <sz val="9"/>
        <rFont val="Arial"/>
        <family val="2"/>
      </rPr>
      <t xml:space="preserve">3. </t>
    </r>
    <r>
      <rPr>
        <sz val="9"/>
        <rFont val="DejaVu Sans"/>
        <family val="2"/>
      </rPr>
      <t xml:space="preserve">業務プロセスのデジタル化（業務プロセスデジタル化、生産性を向上）
</t>
    </r>
    <r>
      <rPr>
        <sz val="9"/>
        <rFont val="Arial"/>
        <family val="2"/>
      </rPr>
      <t xml:space="preserve">4. </t>
    </r>
    <r>
      <rPr>
        <sz val="9"/>
        <rFont val="DejaVu Sans"/>
        <family val="2"/>
      </rPr>
      <t xml:space="preserve">ナレッジマネジメントの実現（組織知の蓄積）
</t>
    </r>
    <r>
      <rPr>
        <sz val="9"/>
        <rFont val="Arial"/>
        <family val="2"/>
      </rPr>
      <t>5. DX</t>
    </r>
    <r>
      <rPr>
        <sz val="9"/>
        <rFont val="DejaVu Sans"/>
        <family val="2"/>
      </rPr>
      <t>施策の展開プラットフォーム（</t>
    </r>
    <r>
      <rPr>
        <sz val="9"/>
        <rFont val="Arial"/>
        <family val="2"/>
      </rPr>
      <t>DX</t>
    </r>
    <r>
      <rPr>
        <sz val="9"/>
        <rFont val="DejaVu Sans"/>
        <family val="2"/>
      </rPr>
      <t xml:space="preserve">を拡張する基盤、社内チャットボット）
</t>
    </r>
    <r>
      <rPr>
        <sz val="9"/>
        <rFont val="Arial"/>
        <family val="2"/>
      </rPr>
      <t xml:space="preserve">6. </t>
    </r>
    <r>
      <rPr>
        <sz val="9"/>
        <rFont val="DejaVu Sans"/>
        <family val="2"/>
      </rPr>
      <t>働き方改革・リモートワーク対応（柔軟な働き方と人材確保）</t>
    </r>
  </si>
  <si>
    <r>
      <t>MS</t>
    </r>
    <r>
      <rPr>
        <sz val="9"/>
        <rFont val="ＭＳ Ｐゴシック"/>
        <family val="2"/>
        <charset val="128"/>
      </rPr>
      <t>リセラー変更タイミング</t>
    </r>
    <r>
      <rPr>
        <sz val="9"/>
        <rFont val="Arial"/>
        <family val="2"/>
      </rPr>
      <t xml:space="preserve">
</t>
    </r>
    <r>
      <rPr>
        <sz val="9"/>
        <rFont val="ＭＳ Ｐゴシック"/>
        <family val="2"/>
        <charset val="128"/>
      </rPr>
      <t>・杏林堂ドメイン終了：</t>
    </r>
    <r>
      <rPr>
        <sz val="9"/>
        <rFont val="Arial"/>
        <family val="2"/>
      </rPr>
      <t xml:space="preserve">2027/02/28
</t>
    </r>
    <r>
      <rPr>
        <sz val="9"/>
        <rFont val="ＭＳ Ｐゴシック"/>
        <family val="2"/>
        <charset val="128"/>
      </rPr>
      <t>・ツルハドメイン開始：</t>
    </r>
    <r>
      <rPr>
        <sz val="9"/>
        <rFont val="Arial"/>
        <family val="2"/>
      </rPr>
      <t>2027/03/01</t>
    </r>
    <phoneticPr fontId="15"/>
  </si>
  <si>
    <t>鈴木孝
横井</t>
    <phoneticPr fontId="15"/>
  </si>
  <si>
    <t>鈴木孝
横井</t>
  </si>
  <si>
    <t>固有のアドレスは別メールサーバーで立ち上げ可能か検討</t>
    <phoneticPr fontId="15"/>
  </si>
  <si>
    <r>
      <rPr>
        <sz val="9"/>
        <rFont val="DejaVu Sans"/>
        <family val="2"/>
      </rPr>
      <t>杏林堂コスト算出（</t>
    </r>
    <r>
      <rPr>
        <sz val="9"/>
        <rFont val="Arial"/>
        <family val="2"/>
      </rPr>
      <t>MS</t>
    </r>
    <r>
      <rPr>
        <sz val="9"/>
        <rFont val="DejaVu Sans"/>
        <family val="2"/>
      </rPr>
      <t>から見積提出）</t>
    </r>
  </si>
  <si>
    <t>電子棚札導入</t>
  </si>
  <si>
    <t>電子棚札</t>
  </si>
  <si>
    <r>
      <rPr>
        <sz val="9"/>
        <rFont val="DejaVu Sans"/>
        <family val="2"/>
      </rPr>
      <t>株ツルハ（本郷店、北</t>
    </r>
    <r>
      <rPr>
        <sz val="9"/>
        <rFont val="Arial"/>
        <family val="2"/>
      </rPr>
      <t>6</t>
    </r>
    <r>
      <rPr>
        <sz val="9"/>
        <rFont val="DejaVu Sans"/>
        <family val="2"/>
      </rPr>
      <t>条店：寺岡、</t>
    </r>
    <r>
      <rPr>
        <sz val="9"/>
        <rFont val="Arial"/>
        <family val="2"/>
      </rPr>
      <t>BIPROGY</t>
    </r>
    <r>
      <rPr>
        <sz val="9"/>
        <rFont val="DejaVu Sans"/>
        <family val="2"/>
      </rPr>
      <t>）、</t>
    </r>
    <r>
      <rPr>
        <sz val="9"/>
        <rFont val="Arial"/>
        <family val="2"/>
      </rPr>
      <t>TGN</t>
    </r>
    <r>
      <rPr>
        <sz val="9"/>
        <rFont val="DejaVu Sans"/>
        <family val="2"/>
      </rPr>
      <t>（</t>
    </r>
    <r>
      <rPr>
        <sz val="9"/>
        <rFont val="Arial"/>
        <family val="2"/>
      </rPr>
      <t>2</t>
    </r>
    <r>
      <rPr>
        <sz val="9"/>
        <rFont val="DejaVu Sans"/>
        <family val="2"/>
      </rPr>
      <t>店舗：寺岡、</t>
    </r>
    <r>
      <rPr>
        <sz val="9"/>
        <rFont val="Arial"/>
        <family val="2"/>
      </rPr>
      <t>BIPROGY</t>
    </r>
    <r>
      <rPr>
        <sz val="9"/>
        <rFont val="DejaVu Sans"/>
        <family val="2"/>
      </rPr>
      <t>）、福太郎（</t>
    </r>
    <r>
      <rPr>
        <sz val="9"/>
        <rFont val="Arial"/>
        <family val="2"/>
      </rPr>
      <t>2</t>
    </r>
    <r>
      <rPr>
        <sz val="9"/>
        <rFont val="DejaVu Sans"/>
        <family val="2"/>
      </rPr>
      <t>店舗：寺岡、</t>
    </r>
    <r>
      <rPr>
        <sz val="9"/>
        <rFont val="Arial"/>
        <family val="2"/>
      </rPr>
      <t>BIPROGY</t>
    </r>
    <r>
      <rPr>
        <sz val="9"/>
        <rFont val="DejaVu Sans"/>
        <family val="2"/>
      </rPr>
      <t>）
株ツルハでは「寺岡精工」の棚札に決定
・北海道中心
・食品売場オンリー設置</t>
    </r>
    <r>
      <rPr>
        <sz val="9"/>
        <rFont val="Arial"/>
        <family val="2"/>
      </rPr>
      <t>87</t>
    </r>
    <r>
      <rPr>
        <sz val="9"/>
        <rFont val="DejaVu Sans"/>
        <family val="2"/>
      </rPr>
      <t>店舗、全売場設置</t>
    </r>
    <r>
      <rPr>
        <sz val="9"/>
        <rFont val="Arial"/>
        <family val="2"/>
      </rPr>
      <t>2</t>
    </r>
    <r>
      <rPr>
        <sz val="9"/>
        <rFont val="DejaVu Sans"/>
        <family val="2"/>
      </rPr>
      <t>店舗</t>
    </r>
  </si>
  <si>
    <r>
      <rPr>
        <sz val="9"/>
        <rFont val="Arial"/>
        <family val="2"/>
      </rPr>
      <t>CX</t>
    </r>
    <r>
      <rPr>
        <sz val="9"/>
        <rFont val="DejaVu Sans"/>
        <family val="2"/>
      </rPr>
      <t>推進部
店舗運営部</t>
    </r>
  </si>
  <si>
    <t>齋藤
横井</t>
  </si>
  <si>
    <r>
      <rPr>
        <sz val="9"/>
        <rFont val="DejaVu Sans"/>
        <family val="2"/>
      </rPr>
      <t>・全ての販促が連携されているわけではない
・</t>
    </r>
    <r>
      <rPr>
        <sz val="9"/>
        <rFont val="Arial"/>
        <family val="2"/>
      </rPr>
      <t>THD</t>
    </r>
    <r>
      <rPr>
        <sz val="9"/>
        <rFont val="DejaVu Sans"/>
        <family val="2"/>
      </rPr>
      <t>情報システムとの役割分担
　　棚札用集配信サーバー</t>
    </r>
  </si>
  <si>
    <r>
      <rPr>
        <sz val="9"/>
        <rFont val="DejaVu Sans"/>
        <family val="2"/>
      </rPr>
      <t xml:space="preserve">寺岡へ現状確認
</t>
    </r>
    <r>
      <rPr>
        <sz val="9"/>
        <rFont val="Arial"/>
        <family val="2"/>
      </rPr>
      <t>THD</t>
    </r>
    <r>
      <rPr>
        <sz val="9"/>
        <rFont val="DejaVu Sans"/>
        <family val="2"/>
      </rPr>
      <t>情シス確認
ツルハ現地確認（磯部さん、佑哉さん）</t>
    </r>
  </si>
  <si>
    <t>スマートデバイス</t>
  </si>
  <si>
    <t>・店舗オペレーションの効率化（売り場即時対応）
　　品出し・棚割確認、在庫確認、値引き・期限チェック
・接客サービス向上
　　商品検索、在庫確認（他店舗含む）
・本部指示の迅速な展開
　　売場変更指示、販促指示、緊急連絡、店舗写真報告
・教育・ナレッジ共有
　　チャットボット、接客動画、業務マニュアル</t>
  </si>
  <si>
    <t>イオンリテール
ウエルシア→コンタクト中</t>
  </si>
  <si>
    <r>
      <rPr>
        <sz val="9"/>
        <rFont val="Arial"/>
        <family val="2"/>
      </rPr>
      <t>52</t>
    </r>
    <r>
      <rPr>
        <sz val="9"/>
        <rFont val="DejaVu Sans"/>
        <family val="2"/>
      </rPr>
      <t>週の</t>
    </r>
    <r>
      <rPr>
        <sz val="9"/>
        <rFont val="Arial"/>
        <family val="2"/>
      </rPr>
      <t>MD</t>
    </r>
  </si>
  <si>
    <r>
      <rPr>
        <sz val="9"/>
        <rFont val="Arial"/>
        <family val="2"/>
      </rPr>
      <t>52</t>
    </r>
    <r>
      <rPr>
        <sz val="9"/>
        <rFont val="DejaVu Sans"/>
        <family val="2"/>
      </rPr>
      <t>週の</t>
    </r>
    <r>
      <rPr>
        <sz val="9"/>
        <rFont val="Arial"/>
        <family val="2"/>
      </rPr>
      <t>MD</t>
    </r>
    <r>
      <rPr>
        <sz val="9"/>
        <rFont val="DejaVu Sans"/>
        <family val="2"/>
      </rPr>
      <t>可視化と送付、行動評価するためのデータベース作成</t>
    </r>
  </si>
  <si>
    <t>店舗運営本部、
商品部、営業推進部</t>
  </si>
  <si>
    <r>
      <rPr>
        <sz val="9"/>
        <color rgb="FF000000"/>
        <rFont val="DejaVu Sans"/>
      </rPr>
      <t>横井：実施状況確認　毎週火曜日
まずは</t>
    </r>
    <r>
      <rPr>
        <sz val="9"/>
        <color rgb="FF000000"/>
        <rFont val="Arial"/>
      </rPr>
      <t>CX</t>
    </r>
    <r>
      <rPr>
        <sz val="9"/>
        <color rgb="FF000000"/>
        <rFont val="DejaVu Sans"/>
      </rPr>
      <t xml:space="preserve">推進部で未実施タスク確認
➡２週分の実績を共有
</t>
    </r>
    <r>
      <rPr>
        <sz val="9"/>
        <color rgb="FF000000"/>
        <rFont val="Arial"/>
      </rPr>
      <t>RPA</t>
    </r>
    <r>
      <rPr>
        <sz val="9"/>
        <color rgb="FF000000"/>
        <rFont val="DejaVu Sans"/>
      </rPr>
      <t>関連事項の確認</t>
    </r>
  </si>
  <si>
    <r>
      <rPr>
        <sz val="9"/>
        <rFont val="DejaVu Sans"/>
        <family val="2"/>
      </rPr>
      <t>全店稼働１週目　現在実施中
重点</t>
    </r>
    <r>
      <rPr>
        <sz val="9"/>
        <rFont val="Arial"/>
        <family val="2"/>
      </rPr>
      <t>20</t>
    </r>
    <r>
      <rPr>
        <sz val="9"/>
        <rFont val="DejaVu Sans"/>
        <family val="2"/>
      </rPr>
      <t>カテゴリー選定</t>
    </r>
  </si>
  <si>
    <t>日中清算店舗の月末日締めでミス多発</t>
  </si>
  <si>
    <t>日中清算</t>
  </si>
  <si>
    <t>日中清算でも末日は夜締め</t>
  </si>
  <si>
    <t>全店</t>
  </si>
  <si>
    <t>店舗クラウドにて月末の日中清算ができないように改修することは可能か？</t>
  </si>
  <si>
    <r>
      <rPr>
        <sz val="9"/>
        <rFont val="Arial"/>
        <family val="2"/>
      </rPr>
      <t>THD</t>
    </r>
    <r>
      <rPr>
        <sz val="9"/>
        <rFont val="DejaVu Sans"/>
        <family val="2"/>
      </rPr>
      <t>状況確認</t>
    </r>
  </si>
  <si>
    <r>
      <rPr>
        <sz val="9"/>
        <rFont val="DejaVu Sans"/>
        <family val="2"/>
      </rPr>
      <t>生鮮</t>
    </r>
    <r>
      <rPr>
        <sz val="9"/>
        <rFont val="Arial"/>
        <family val="2"/>
      </rPr>
      <t>EDI</t>
    </r>
    <r>
      <rPr>
        <sz val="9"/>
        <rFont val="DejaVu Sans"/>
        <family val="2"/>
      </rPr>
      <t>リリース後の課題</t>
    </r>
  </si>
  <si>
    <r>
      <rPr>
        <sz val="9"/>
        <rFont val="DejaVu Sans"/>
        <family val="2"/>
      </rPr>
      <t>生鮮</t>
    </r>
    <r>
      <rPr>
        <sz val="9"/>
        <rFont val="Arial"/>
        <family val="2"/>
      </rPr>
      <t>EDI</t>
    </r>
  </si>
  <si>
    <t>・「せんどねっと」での棚卸実施、差益管理
・青果粗利向上</t>
  </si>
  <si>
    <t>齋藤</t>
  </si>
  <si>
    <r>
      <rPr>
        <sz val="9"/>
        <rFont val="DejaVu Sans"/>
        <family val="2"/>
      </rPr>
      <t>・導入リスト作成時間増
・粗利率</t>
    </r>
    <r>
      <rPr>
        <sz val="9"/>
        <rFont val="Arial"/>
        <family val="2"/>
      </rPr>
      <t>0.3%→</t>
    </r>
    <r>
      <rPr>
        <sz val="9"/>
        <rFont val="DejaVu Sans"/>
        <family val="2"/>
      </rPr>
      <t>案検討できていない（</t>
    </r>
    <r>
      <rPr>
        <sz val="9"/>
        <rFont val="Arial"/>
        <family val="2"/>
      </rPr>
      <t>1%</t>
    </r>
    <r>
      <rPr>
        <sz val="9"/>
        <rFont val="DejaVu Sans"/>
        <family val="2"/>
      </rPr>
      <t>目標は数値根拠なし）→商品部対応</t>
    </r>
  </si>
  <si>
    <t>・店舗作業低減時間の確認
・差益管理（棚卸機能）の運用
・常温センター対応（ロジスティード）</t>
  </si>
  <si>
    <t>棚卸精度向上のための運用見直し</t>
  </si>
  <si>
    <t>棚卸</t>
  </si>
  <si>
    <t>・ロスチェック精度向上
・業者棚卸の精度向上</t>
  </si>
  <si>
    <t>鈴木佑
齋藤
横井</t>
  </si>
  <si>
    <t>停止</t>
  </si>
  <si>
    <t>運用体制、役割分担整理
→情報システムが各店舗のロス修正入力チェックをしている
→修正件数が多い、修正漏れが多いため根本的な対策</t>
  </si>
  <si>
    <t>次回棚卸準備時に体制検討</t>
  </si>
  <si>
    <r>
      <rPr>
        <sz val="9"/>
        <rFont val="Arial"/>
        <family val="2"/>
      </rPr>
      <t>AI</t>
    </r>
    <r>
      <rPr>
        <sz val="9"/>
        <rFont val="DejaVu Sans"/>
        <family val="2"/>
      </rPr>
      <t>カメラ　遠隔</t>
    </r>
  </si>
  <si>
    <r>
      <rPr>
        <sz val="9"/>
        <rFont val="DejaVu Sans"/>
        <family val="2"/>
      </rPr>
      <t xml:space="preserve">サードアイズ社
</t>
    </r>
    <r>
      <rPr>
        <sz val="9"/>
        <rFont val="Arial"/>
        <family val="2"/>
      </rPr>
      <t>Safie</t>
    </r>
  </si>
  <si>
    <r>
      <rPr>
        <sz val="9"/>
        <rFont val="DejaVu Sans"/>
        <family val="2"/>
      </rPr>
      <t>生鮮、ベーカリー部門の売り場監視、評価を</t>
    </r>
    <r>
      <rPr>
        <sz val="9"/>
        <rFont val="Arial"/>
        <family val="2"/>
      </rPr>
      <t>AI</t>
    </r>
    <r>
      <rPr>
        <sz val="9"/>
        <rFont val="DejaVu Sans"/>
        <family val="2"/>
      </rPr>
      <t>が行い、売り場の標準化、マネージャー業務の効率化を目指す
【導入実績】成城石井、スーパーサンエイ、フードウェイ</t>
    </r>
  </si>
  <si>
    <r>
      <rPr>
        <sz val="9"/>
        <rFont val="DejaVu Sans"/>
        <family val="2"/>
      </rPr>
      <t xml:space="preserve">店舗企画部
運営支援課
</t>
    </r>
    <r>
      <rPr>
        <sz val="9"/>
        <rFont val="Arial"/>
        <family val="2"/>
      </rPr>
      <t>CX</t>
    </r>
    <r>
      <rPr>
        <sz val="9"/>
        <rFont val="DejaVu Sans"/>
        <family val="2"/>
      </rPr>
      <t>推進部
情報システム部</t>
    </r>
  </si>
  <si>
    <t>横井
石川</t>
  </si>
  <si>
    <r>
      <rPr>
        <sz val="9"/>
        <rFont val="DejaVu Sans"/>
        <family val="2"/>
      </rPr>
      <t xml:space="preserve">運営支援課　ﾍﾞｰｶﾘｰﾄﾚｰﾅｰ、生鮮ﾄﾚｰﾅｰの課題把握
</t>
    </r>
    <r>
      <rPr>
        <sz val="9"/>
        <rFont val="Arial"/>
        <family val="2"/>
      </rPr>
      <t xml:space="preserve">Safie vs </t>
    </r>
    <r>
      <rPr>
        <sz val="9"/>
        <rFont val="DejaVu Sans"/>
        <family val="2"/>
      </rPr>
      <t>サードアイズ</t>
    </r>
  </si>
  <si>
    <r>
      <rPr>
        <sz val="9"/>
        <rFont val="Arial"/>
        <family val="2"/>
      </rPr>
      <t>3/24</t>
    </r>
    <r>
      <rPr>
        <sz val="9"/>
        <rFont val="DejaVu Sans"/>
        <family val="2"/>
      </rPr>
      <t xml:space="preserve">　サードアイズ説明　運営支援課参加予定
</t>
    </r>
    <r>
      <rPr>
        <sz val="9"/>
        <rFont val="Arial"/>
        <family val="2"/>
      </rPr>
      <t>4/14or4/20</t>
    </r>
    <r>
      <rPr>
        <sz val="9"/>
        <rFont val="DejaVu Sans"/>
        <family val="2"/>
      </rPr>
      <t>　</t>
    </r>
    <r>
      <rPr>
        <sz val="9"/>
        <rFont val="Arial"/>
        <family val="2"/>
      </rPr>
      <t>Safie</t>
    </r>
  </si>
  <si>
    <t>予算対比実績の即時化、精度向上、効率化</t>
  </si>
  <si>
    <r>
      <rPr>
        <sz val="9"/>
        <rFont val="DejaVu Sans"/>
        <family val="2"/>
      </rPr>
      <t xml:space="preserve">予算実績集計
</t>
    </r>
    <r>
      <rPr>
        <sz val="9"/>
        <rFont val="Arial"/>
        <family val="2"/>
      </rPr>
      <t xml:space="preserve">DIGGLE
</t>
    </r>
    <r>
      <rPr>
        <sz val="9"/>
        <rFont val="DejaVu Sans"/>
        <family val="2"/>
      </rPr>
      <t>ログラス</t>
    </r>
  </si>
  <si>
    <r>
      <rPr>
        <sz val="9"/>
        <rFont val="DejaVu Sans"/>
        <family val="2"/>
      </rPr>
      <t>・集計の即時化
・</t>
    </r>
    <r>
      <rPr>
        <sz val="9"/>
        <rFont val="Arial"/>
        <family val="2"/>
      </rPr>
      <t>TK5</t>
    </r>
    <r>
      <rPr>
        <sz val="9"/>
        <rFont val="DejaVu Sans"/>
        <family val="2"/>
      </rPr>
      <t>からの</t>
    </r>
    <r>
      <rPr>
        <sz val="9"/>
        <rFont val="Arial"/>
        <family val="2"/>
      </rPr>
      <t>EXCEL</t>
    </r>
    <r>
      <rPr>
        <sz val="9"/>
        <rFont val="DejaVu Sans"/>
        <family val="2"/>
      </rPr>
      <t>出力→マクロ集計からの解放
・減価償却実績の自動集計</t>
    </r>
  </si>
  <si>
    <t>経営企画部</t>
  </si>
  <si>
    <t>鈴木佑
齋藤</t>
  </si>
  <si>
    <r>
      <rPr>
        <sz val="9"/>
        <rFont val="DejaVu Sans"/>
        <family val="2"/>
      </rPr>
      <t xml:space="preserve">コストの問題
</t>
    </r>
    <r>
      <rPr>
        <sz val="9"/>
        <rFont val="Arial"/>
        <family val="2"/>
      </rPr>
      <t>DIGGLE: IC150</t>
    </r>
    <r>
      <rPr>
        <sz val="9"/>
        <rFont val="DejaVu Sans"/>
        <family val="2"/>
      </rPr>
      <t>万、</t>
    </r>
    <r>
      <rPr>
        <sz val="9"/>
        <rFont val="Arial"/>
        <family val="2"/>
      </rPr>
      <t>RC30</t>
    </r>
    <r>
      <rPr>
        <sz val="9"/>
        <rFont val="DejaVu Sans"/>
        <family val="2"/>
      </rPr>
      <t>万
ログラス</t>
    </r>
    <r>
      <rPr>
        <sz val="9"/>
        <rFont val="Arial"/>
        <family val="2"/>
      </rPr>
      <t>:IC150</t>
    </r>
    <r>
      <rPr>
        <sz val="9"/>
        <rFont val="DejaVu Sans"/>
        <family val="2"/>
      </rPr>
      <t>万、</t>
    </r>
    <r>
      <rPr>
        <sz val="9"/>
        <rFont val="Arial"/>
        <family val="2"/>
      </rPr>
      <t>RC50</t>
    </r>
    <r>
      <rPr>
        <sz val="9"/>
        <rFont val="DejaVu Sans"/>
        <family val="2"/>
      </rPr>
      <t>万
内製を検討</t>
    </r>
  </si>
  <si>
    <t>AIエージェントで対応可能か検討</t>
  </si>
  <si>
    <t>IT-BCP</t>
  </si>
  <si>
    <t>ガートナー
エスピーネットワーク</t>
  </si>
  <si>
    <r>
      <rPr>
        <sz val="9"/>
        <rFont val="Arial"/>
        <family val="2"/>
      </rPr>
      <t>IT</t>
    </r>
    <r>
      <rPr>
        <sz val="9"/>
        <rFont val="DejaVu Sans"/>
        <family val="2"/>
      </rPr>
      <t>関連、ランサムウェアを加味した事業継続計画を作成
緊急連絡網の効率化
１．原因ではなく「結果事象」にフォーカスする
２．想定すべき７つの結果事象（リスク）
①システム機器の機能不能②施設・設備の不能③人員の移動制限④</t>
    </r>
    <r>
      <rPr>
        <sz val="9"/>
        <rFont val="Arial"/>
        <family val="2"/>
      </rPr>
      <t>IT</t>
    </r>
    <r>
      <rPr>
        <sz val="9"/>
        <rFont val="DejaVu Sans"/>
        <family val="2"/>
      </rPr>
      <t>リソースの共有停止⑤人的ソースの供給停止⑥長期間のシステム隔離・安全⑦データの大規模な破壊
３．影響度分析（</t>
    </r>
    <r>
      <rPr>
        <sz val="9"/>
        <rFont val="Arial"/>
        <family val="2"/>
      </rPr>
      <t>BIA</t>
    </r>
    <r>
      <rPr>
        <sz val="9"/>
        <rFont val="DejaVu Sans"/>
        <family val="2"/>
      </rPr>
      <t>）のアップデート
４．コンテンジェンシープランの見直し
５．暫定復旧の考え方</t>
    </r>
  </si>
  <si>
    <r>
      <rPr>
        <sz val="9"/>
        <rFont val="DejaVu Sans"/>
        <family val="2"/>
      </rPr>
      <t xml:space="preserve">総務部
情報システム部
</t>
    </r>
    <r>
      <rPr>
        <sz val="9"/>
        <rFont val="Arial"/>
        <family val="2"/>
      </rPr>
      <t>CX</t>
    </r>
    <r>
      <rPr>
        <sz val="9"/>
        <rFont val="DejaVu Sans"/>
        <family val="2"/>
      </rPr>
      <t>推進部</t>
    </r>
  </si>
  <si>
    <t>調査中</t>
  </si>
  <si>
    <r>
      <rPr>
        <sz val="9"/>
        <rFont val="DejaVu Sans"/>
        <family val="2"/>
      </rPr>
      <t>検討課題整理　</t>
    </r>
    <r>
      <rPr>
        <sz val="9"/>
        <rFont val="Arial"/>
        <family val="2"/>
      </rPr>
      <t>BCP</t>
    </r>
    <r>
      <rPr>
        <sz val="9"/>
        <rFont val="DejaVu Sans"/>
        <family val="2"/>
      </rPr>
      <t>と</t>
    </r>
    <r>
      <rPr>
        <sz val="9"/>
        <rFont val="Arial"/>
        <family val="2"/>
      </rPr>
      <t>BCP</t>
    </r>
    <r>
      <rPr>
        <sz val="9"/>
        <rFont val="DejaVu Sans"/>
        <family val="2"/>
      </rPr>
      <t xml:space="preserve">規定
</t>
    </r>
    <r>
      <rPr>
        <sz val="9"/>
        <rFont val="Arial"/>
        <family val="2"/>
      </rPr>
      <t>BCP</t>
    </r>
    <r>
      <rPr>
        <sz val="9"/>
        <rFont val="DejaVu Sans"/>
        <family val="2"/>
      </rPr>
      <t xml:space="preserve">：行動手順書
</t>
    </r>
    <r>
      <rPr>
        <sz val="9"/>
        <rFont val="Arial"/>
        <family val="2"/>
      </rPr>
      <t>BCP</t>
    </r>
    <r>
      <rPr>
        <sz val="9"/>
        <rFont val="DejaVu Sans"/>
        <family val="2"/>
      </rPr>
      <t>規定：組織・ルール</t>
    </r>
  </si>
  <si>
    <t>エスピーネットワークへ提案依頼中</t>
  </si>
  <si>
    <r>
      <rPr>
        <sz val="9"/>
        <rFont val="Arial"/>
        <family val="2"/>
      </rPr>
      <t>AI</t>
    </r>
    <r>
      <rPr>
        <sz val="9"/>
        <rFont val="DejaVu Sans"/>
        <family val="2"/>
      </rPr>
      <t>使用ガイドライン作成</t>
    </r>
  </si>
  <si>
    <r>
      <rPr>
        <sz val="9"/>
        <rFont val="Arial"/>
        <family val="2"/>
      </rPr>
      <t>AI</t>
    </r>
    <r>
      <rPr>
        <sz val="9"/>
        <rFont val="DejaVu Sans"/>
        <family val="2"/>
      </rPr>
      <t>使用ガイドライン</t>
    </r>
  </si>
  <si>
    <r>
      <rPr>
        <sz val="9"/>
        <rFont val="Arial"/>
        <family val="2"/>
      </rPr>
      <t>AI</t>
    </r>
    <r>
      <rPr>
        <sz val="9"/>
        <rFont val="DejaVu Sans"/>
        <family val="2"/>
      </rPr>
      <t>使用に関するルール整理</t>
    </r>
  </si>
  <si>
    <t>鈴木孝
石川</t>
  </si>
  <si>
    <t xml:space="preserve">Claud
GWS
</t>
  </si>
  <si>
    <t>運用乗せるための規定作成
ガートナーとの壁打ち</t>
  </si>
  <si>
    <t>店長チェックリスト</t>
  </si>
  <si>
    <t>【コンプライアス】店長チェックリスト</t>
  </si>
  <si>
    <t>内部監査業務の細分化
　①毎日実施業務・・・毎日確認する項目
　②週間実施業務・・・一週間の中で確認する業務
　③月初実施業務・・・月の初めに確認・実施する業務
　④月末実施業務・・・月末に確認・実施する業務
　⑤年間・発生都度実施業務・・・年間の中で定期的に発生、または不定期に発生する業務</t>
  </si>
  <si>
    <t>店舗企画部　業務改善課</t>
  </si>
  <si>
    <t>鈴木孝</t>
    <phoneticPr fontId="15"/>
  </si>
  <si>
    <t>監査書類
ポイント付与実績</t>
  </si>
  <si>
    <t>RFID</t>
  </si>
  <si>
    <t>鈴木佑
横井</t>
  </si>
  <si>
    <r>
      <rPr>
        <sz val="9"/>
        <rFont val="Arial"/>
        <family val="2"/>
      </rPr>
      <t>3/17</t>
    </r>
    <r>
      <rPr>
        <sz val="9"/>
        <rFont val="DejaVu Sans"/>
        <family val="2"/>
      </rPr>
      <t>：小橋本部長</t>
    </r>
    <r>
      <rPr>
        <sz val="9"/>
        <rFont val="Arial"/>
        <family val="2"/>
      </rPr>
      <t xml:space="preserve">MTG
</t>
    </r>
    <r>
      <rPr>
        <sz val="9"/>
        <rFont val="DejaVu Sans"/>
        <family val="2"/>
      </rPr>
      <t>担当：佑哉、横井、支社長</t>
    </r>
  </si>
  <si>
    <t>AI-OCR</t>
  </si>
  <si>
    <r>
      <rPr>
        <sz val="9"/>
        <rFont val="DejaVu Sans"/>
        <family val="2"/>
      </rPr>
      <t>蒼</t>
    </r>
    <r>
      <rPr>
        <sz val="9"/>
        <rFont val="Arial"/>
        <family val="2"/>
      </rPr>
      <t>AOI
CODIQ
PKSHA</t>
    </r>
  </si>
  <si>
    <r>
      <rPr>
        <sz val="9"/>
        <rFont val="Arial"/>
        <family val="2"/>
      </rPr>
      <t>JAPAN</t>
    </r>
    <r>
      <rPr>
        <sz val="9"/>
        <rFont val="DejaVu Sans"/>
        <family val="2"/>
      </rPr>
      <t>　</t>
    </r>
    <r>
      <rPr>
        <sz val="9"/>
        <rFont val="Arial"/>
        <family val="2"/>
      </rPr>
      <t>AI</t>
    </r>
    <r>
      <rPr>
        <sz val="9"/>
        <rFont val="DejaVu Sans"/>
        <family val="2"/>
      </rPr>
      <t>の</t>
    </r>
    <r>
      <rPr>
        <sz val="9"/>
        <rFont val="Arial"/>
        <family val="2"/>
      </rPr>
      <t xml:space="preserve">OCR
</t>
    </r>
    <r>
      <rPr>
        <sz val="9"/>
        <rFont val="DejaVu Sans"/>
        <family val="2"/>
      </rPr>
      <t>アンケートの読み取りする→</t>
    </r>
    <r>
      <rPr>
        <sz val="9"/>
        <rFont val="Arial"/>
        <family val="2"/>
      </rPr>
      <t xml:space="preserve">VOC
</t>
    </r>
    <r>
      <rPr>
        <sz val="9"/>
        <rFont val="DejaVu Sans"/>
        <family val="2"/>
      </rPr>
      <t>売価調整（チラシを見て</t>
    </r>
    <r>
      <rPr>
        <sz val="9"/>
        <rFont val="Arial"/>
        <family val="2"/>
      </rPr>
      <t>EXCEL</t>
    </r>
    <r>
      <rPr>
        <sz val="9"/>
        <rFont val="DejaVu Sans"/>
        <family val="2"/>
      </rPr>
      <t>入力）→経営インパクト大
作成時のチラシチェック→１～３項
チラシ作成機能は検討可能か？</t>
    </r>
  </si>
  <si>
    <r>
      <rPr>
        <sz val="9"/>
        <rFont val="Arial"/>
        <family val="2"/>
      </rPr>
      <t>CX</t>
    </r>
    <r>
      <rPr>
        <sz val="9"/>
        <rFont val="DejaVu Sans"/>
        <family val="2"/>
      </rPr>
      <t>推進部
営業推進部</t>
    </r>
  </si>
  <si>
    <t>鈴木孝
足立</t>
  </si>
  <si>
    <t>5月12日マーケティング部含め再打合わせセッティング、課題明確化</t>
    <rPh sb="1" eb="2">
      <t>ガツ</t>
    </rPh>
    <rPh sb="4" eb="5">
      <t>ニチ</t>
    </rPh>
    <rPh sb="12" eb="13">
      <t>ブ</t>
    </rPh>
    <rPh sb="13" eb="14">
      <t>フク</t>
    </rPh>
    <rPh sb="15" eb="18">
      <t>サイウチア</t>
    </rPh>
    <rPh sb="27" eb="29">
      <t>カダイ</t>
    </rPh>
    <rPh sb="29" eb="32">
      <t>メイカクカ</t>
    </rPh>
    <phoneticPr fontId="15"/>
  </si>
  <si>
    <r>
      <rPr>
        <sz val="9"/>
        <rFont val="DejaVu Sans"/>
        <family val="2"/>
      </rPr>
      <t>チラシ読み取りデモ→精度は少し良くないが改善の余地あり
営業推進部では</t>
    </r>
    <r>
      <rPr>
        <sz val="9"/>
        <rFont val="Arial"/>
        <family val="2"/>
      </rPr>
      <t>BPO</t>
    </r>
    <r>
      <rPr>
        <sz val="9"/>
        <rFont val="DejaVu Sans"/>
        <family val="2"/>
      </rPr>
      <t>も検討</t>
    </r>
  </si>
  <si>
    <r>
      <rPr>
        <sz val="9"/>
        <rFont val="DejaVu Sans"/>
        <family val="2"/>
      </rPr>
      <t>・</t>
    </r>
    <r>
      <rPr>
        <sz val="9"/>
        <rFont val="Arial"/>
        <family val="2"/>
      </rPr>
      <t>3/17</t>
    </r>
    <r>
      <rPr>
        <sz val="9"/>
        <rFont val="DejaVu Sans"/>
        <family val="2"/>
      </rPr>
      <t>：会社紹介
・営業推進部へ提案</t>
    </r>
  </si>
  <si>
    <r>
      <rPr>
        <sz val="9"/>
        <rFont val="DejaVu Sans"/>
        <family val="2"/>
      </rPr>
      <t>販促企画</t>
    </r>
    <r>
      <rPr>
        <sz val="9"/>
        <rFont val="Arial"/>
        <family val="2"/>
      </rPr>
      <t>CCR</t>
    </r>
    <r>
      <rPr>
        <sz val="9"/>
        <rFont val="DejaVu Sans"/>
        <family val="2"/>
      </rPr>
      <t>登録用リスト作成、登録、チェックの効率化</t>
    </r>
  </si>
  <si>
    <t>旧販促企画システム（デジコム）</t>
  </si>
  <si>
    <t>営業推進部</t>
  </si>
  <si>
    <t>レイアウト集約</t>
  </si>
  <si>
    <t>棚割（プロモ、エンド）</t>
  </si>
  <si>
    <t>個店ごとのプロモーション棚割りを数パターンに集約する</t>
  </si>
  <si>
    <r>
      <rPr>
        <sz val="9"/>
        <rFont val="DejaVu Sans"/>
        <family val="2"/>
      </rPr>
      <t xml:space="preserve">商品部
</t>
    </r>
    <r>
      <rPr>
        <sz val="9"/>
        <rFont val="Arial"/>
        <family val="2"/>
      </rPr>
      <t>CX</t>
    </r>
    <r>
      <rPr>
        <sz val="9"/>
        <rFont val="DejaVu Sans"/>
        <family val="2"/>
      </rPr>
      <t>推進部</t>
    </r>
  </si>
  <si>
    <t>プロモと売上の相関関係より最適パターンを割り出しする</t>
  </si>
  <si>
    <t>改鮮活動</t>
  </si>
  <si>
    <t>ロート製薬</t>
  </si>
  <si>
    <r>
      <rPr>
        <sz val="9"/>
        <rFont val="DejaVu Sans"/>
        <family val="2"/>
      </rPr>
      <t>第</t>
    </r>
    <r>
      <rPr>
        <sz val="9"/>
        <rFont val="Arial"/>
        <family val="2"/>
      </rPr>
      <t>1</t>
    </r>
    <r>
      <rPr>
        <sz val="9"/>
        <rFont val="DejaVu Sans"/>
        <family val="2"/>
      </rPr>
      <t>優先：気づき活動　※まずはここの定着を</t>
    </r>
    <r>
      <rPr>
        <sz val="9"/>
        <rFont val="Arial"/>
        <family val="2"/>
      </rPr>
      <t>1</t>
    </r>
    <r>
      <rPr>
        <sz val="9"/>
        <rFont val="DejaVu Sans"/>
        <family val="2"/>
      </rPr>
      <t>年かけて作りたい（気づき、発言・提案する文化）
第</t>
    </r>
    <r>
      <rPr>
        <sz val="9"/>
        <rFont val="Arial"/>
        <family val="2"/>
      </rPr>
      <t>2</t>
    </r>
    <r>
      <rPr>
        <sz val="9"/>
        <rFont val="DejaVu Sans"/>
        <family val="2"/>
      </rPr>
      <t>優先：</t>
    </r>
    <r>
      <rPr>
        <sz val="9"/>
        <rFont val="Arial"/>
        <family val="2"/>
      </rPr>
      <t>5S</t>
    </r>
    <r>
      <rPr>
        <sz val="9"/>
        <rFont val="DejaVu Sans"/>
        <family val="2"/>
      </rPr>
      <t>の見える化
第</t>
    </r>
    <r>
      <rPr>
        <sz val="9"/>
        <rFont val="Arial"/>
        <family val="2"/>
      </rPr>
      <t>3</t>
    </r>
    <r>
      <rPr>
        <sz val="9"/>
        <rFont val="DejaVu Sans"/>
        <family val="2"/>
      </rPr>
      <t>優先：テーマ活動
★活動は「やること」よりも、風化させない運営機能</t>
    </r>
  </si>
  <si>
    <t>全部署</t>
  </si>
  <si>
    <r>
      <rPr>
        <sz val="9"/>
        <rFont val="DejaVu Sans"/>
        <family val="2"/>
      </rPr>
      <t>初回で決めたいこと
目的を統一する
「現場を楽にする」「問題を見える化する」「改善できる人を育てる」
活動名称とメッセージを決める
事務局設置
モデル拠点選定
投稿フォーマット、会議体、</t>
    </r>
    <r>
      <rPr>
        <sz val="9"/>
        <rFont val="Arial"/>
        <family val="2"/>
      </rPr>
      <t>KPI</t>
    </r>
    <r>
      <rPr>
        <sz val="9"/>
        <rFont val="DejaVu Sans"/>
        <family val="2"/>
      </rPr>
      <t>決定</t>
    </r>
  </si>
  <si>
    <r>
      <rPr>
        <sz val="9"/>
        <rFont val="Arial"/>
        <family val="2"/>
      </rPr>
      <t>4/15</t>
    </r>
    <r>
      <rPr>
        <sz val="9"/>
        <rFont val="DejaVu Sans"/>
        <family val="2"/>
      </rPr>
      <t xml:space="preserve">：キックオフ
</t>
    </r>
    <r>
      <rPr>
        <sz val="9"/>
        <rFont val="Arial"/>
        <family val="2"/>
      </rPr>
      <t>4/24</t>
    </r>
    <r>
      <rPr>
        <sz val="9"/>
        <rFont val="DejaVu Sans"/>
        <family val="2"/>
      </rPr>
      <t>：ロート様打ち合わせ</t>
    </r>
  </si>
  <si>
    <t>従業員アンケート、インタビュー</t>
  </si>
  <si>
    <t>ぼぼまる（博報堂）</t>
  </si>
  <si>
    <t>従業員のエンゲージメントを高める</t>
  </si>
  <si>
    <t>POP作成エージェント</t>
  </si>
  <si>
    <t>業務フロー</t>
  </si>
  <si>
    <t>ラベルマイティ販売停止による代替検討</t>
  </si>
  <si>
    <t>店舗運営部
商品部</t>
  </si>
  <si>
    <t>業務可視化</t>
  </si>
  <si>
    <t>バリューチェーン清流化
　業務可視化、ボトルネック特定
　業務のシンプル化、働きやすさ向上、顧客価値向上
GTMエンジニア</t>
  </si>
  <si>
    <r>
      <t>4/17 Cacoo</t>
    </r>
    <r>
      <rPr>
        <sz val="9"/>
        <rFont val="ＭＳ Ｐゴシック"/>
        <family val="2"/>
        <charset val="128"/>
      </rPr>
      <t>打合せ予定</t>
    </r>
    <rPh sb="10" eb="12">
      <t>ウチアワ</t>
    </rPh>
    <rPh sb="13" eb="15">
      <t>ヨテイ</t>
    </rPh>
    <phoneticPr fontId="15"/>
  </si>
  <si>
    <t xml:space="preserve">業務フロー作成ツール
</t>
  </si>
  <si>
    <r>
      <rPr>
        <sz val="9"/>
        <rFont val="Arial"/>
        <family val="2"/>
      </rPr>
      <t>4/3</t>
    </r>
    <r>
      <rPr>
        <sz val="9"/>
        <rFont val="DejaVu Sans"/>
        <family val="2"/>
      </rPr>
      <t>：</t>
    </r>
    <r>
      <rPr>
        <sz val="9"/>
        <rFont val="Arial"/>
        <family val="2"/>
      </rPr>
      <t>SIGNATE</t>
    </r>
    <r>
      <rPr>
        <sz val="9"/>
        <rFont val="DejaVu Sans"/>
        <family val="2"/>
      </rPr>
      <t>　</t>
    </r>
    <r>
      <rPr>
        <sz val="9"/>
        <rFont val="Arial"/>
        <family val="2"/>
      </rPr>
      <t>AI</t>
    </r>
    <r>
      <rPr>
        <sz val="9"/>
        <rFont val="DejaVu Sans"/>
        <family val="2"/>
      </rPr>
      <t>総合コンサル</t>
    </r>
  </si>
  <si>
    <t>AIエージェント開発環境構築</t>
  </si>
  <si>
    <t>◆ニューワークフローの構築（業務の再設計）
◆５レイヤー
１．人とAIが共に働くシステム（Any workspace）
２．AIエージェントを開発・管理するシステム（Any agent）
３．安全性とガバナンスを担保するレイヤー（Trust layer）
４．AIがビジネスを理解するデータ文脈システム（Data Cloud等のデータレイク・ウェアハウス）
５．業務プロセスを担うシステム（各種業務アプリケーション）</t>
  </si>
  <si>
    <t>CX推進部</t>
  </si>
  <si>
    <r>
      <rPr>
        <sz val="9"/>
        <color rgb="FF000000"/>
        <rFont val="DejaVu Sans"/>
      </rPr>
      <t xml:space="preserve">業務フロー作成ツール
</t>
    </r>
    <r>
      <rPr>
        <b/>
        <sz val="9"/>
        <color rgb="FFFF0000"/>
        <rFont val="DejaVu Sans"/>
      </rPr>
      <t>AIによるパフォーマンスが落ちる場合がある
ワークスロップ（Workslop）
→業務の熟練者とAIが組み合わさるとパフォーマンスが上がる</t>
    </r>
  </si>
  <si>
    <t>名刺管理</t>
  </si>
  <si>
    <t>Sansan</t>
  </si>
  <si>
    <t>他部署関連</t>
    <rPh sb="0" eb="3">
      <t>タブショ</t>
    </rPh>
    <rPh sb="3" eb="5">
      <t>カンレン</t>
    </rPh>
    <phoneticPr fontId="15"/>
  </si>
  <si>
    <t>業績管理ツール</t>
  </si>
  <si>
    <t>Dr.SUM
MotionBorad</t>
  </si>
  <si>
    <t>-</t>
  </si>
  <si>
    <t>4/3(金) 14:00-15:00　IR予算管理部よりSV向け基本操作説明会</t>
  </si>
  <si>
    <r>
      <rPr>
        <sz val="9"/>
        <rFont val="Arial"/>
        <family val="2"/>
      </rPr>
      <t>AD</t>
    </r>
    <r>
      <rPr>
        <sz val="9"/>
        <rFont val="DejaVu Sans"/>
        <family val="2"/>
      </rPr>
      <t>導入</t>
    </r>
  </si>
  <si>
    <t>Active Directory</t>
  </si>
  <si>
    <r>
      <rPr>
        <sz val="9"/>
        <rFont val="Arial"/>
        <family val="2"/>
      </rPr>
      <t>CX</t>
    </r>
    <r>
      <rPr>
        <sz val="9"/>
        <rFont val="DejaVu Sans"/>
        <family val="2"/>
      </rPr>
      <t>推進部：導入プラン作成
情報システム部：各種設定、運用</t>
    </r>
  </si>
  <si>
    <r>
      <t>CX</t>
    </r>
    <r>
      <rPr>
        <sz val="9"/>
        <rFont val="ＭＳ ゴシック"/>
        <family val="3"/>
        <charset val="128"/>
      </rPr>
      <t>推進部
情報システム部</t>
    </r>
    <phoneticPr fontId="15"/>
  </si>
  <si>
    <r>
      <rPr>
        <sz val="9"/>
        <rFont val="DejaVu Sans"/>
        <family val="2"/>
      </rPr>
      <t>・</t>
    </r>
    <r>
      <rPr>
        <sz val="9"/>
        <rFont val="Arial"/>
        <family val="2"/>
      </rPr>
      <t>WBS</t>
    </r>
    <r>
      <rPr>
        <sz val="9"/>
        <rFont val="DejaVu Sans"/>
        <family val="2"/>
      </rPr>
      <t>作成（作業洗い出し、工数算出、リソース配分）
・導入時のフォロー体制</t>
    </r>
  </si>
  <si>
    <t>医薬品説明の遠隔対応</t>
  </si>
  <si>
    <r>
      <rPr>
        <sz val="9"/>
        <rFont val="DejaVu Sans"/>
        <family val="2"/>
      </rPr>
      <t>タイムリープ　</t>
    </r>
    <r>
      <rPr>
        <sz val="9"/>
        <rFont val="Arial"/>
        <family val="2"/>
      </rPr>
      <t>RURA</t>
    </r>
  </si>
  <si>
    <r>
      <rPr>
        <sz val="9"/>
        <rFont val="DejaVu Sans"/>
        <family val="2"/>
      </rPr>
      <t>お客様が店舗販売業に来店している場合は、オンライン不可
やはり現状の法規に想定されていないため、難しい運用となります。
少し方向性は異なるかもしれませんが、令和</t>
    </r>
    <r>
      <rPr>
        <sz val="9"/>
        <rFont val="Arial"/>
        <family val="2"/>
      </rPr>
      <t>9</t>
    </r>
    <r>
      <rPr>
        <sz val="9"/>
        <rFont val="DejaVu Sans"/>
        <family val="2"/>
      </rPr>
      <t>年</t>
    </r>
    <r>
      <rPr>
        <sz val="9"/>
        <rFont val="Arial"/>
        <family val="2"/>
      </rPr>
      <t>5</t>
    </r>
    <r>
      <rPr>
        <sz val="9"/>
        <rFont val="DejaVu Sans"/>
        <family val="2"/>
      </rPr>
      <t>月頃までには、
「薬剤師等の遠隔管理下での一般用医薬品販売」が可能となります。
コンビニ等で</t>
    </r>
    <r>
      <rPr>
        <sz val="9"/>
        <rFont val="Arial"/>
        <family val="2"/>
      </rPr>
      <t>OTC</t>
    </r>
    <r>
      <rPr>
        <sz val="9"/>
        <rFont val="DejaVu Sans"/>
        <family val="2"/>
      </rPr>
      <t>自販機や医薬品管理設備を設置し、他店舗からオンラインによる確認で販売可能です。</t>
    </r>
  </si>
  <si>
    <t>システム関連の報告書</t>
  </si>
  <si>
    <r>
      <rPr>
        <sz val="9"/>
        <rFont val="DejaVu Sans"/>
        <family val="2"/>
      </rPr>
      <t>「障害報告書」
「インシデント報告書」
「再発防止報告書（</t>
    </r>
    <r>
      <rPr>
        <sz val="9"/>
        <rFont val="Arial"/>
        <family val="2"/>
      </rPr>
      <t>RCA</t>
    </r>
    <r>
      <rPr>
        <sz val="9"/>
        <rFont val="DejaVu Sans"/>
        <family val="2"/>
      </rPr>
      <t>）」</t>
    </r>
  </si>
  <si>
    <t>障害のトリアージ基準</t>
  </si>
  <si>
    <t>情報システム部</t>
  </si>
  <si>
    <t>-</t>
    <phoneticPr fontId="15"/>
  </si>
  <si>
    <t>例
・売り上げや決済に直結する内容（＝会計）
・店舗への影響が大きいレジ停止、クーポン不適用などの内容　等</t>
  </si>
  <si>
    <t>カテゴリー販促一覧の部門間共有</t>
  </si>
  <si>
    <t>カテゴリー販促</t>
  </si>
  <si>
    <t>販促情報の部門間共有を清流化
・商品部、営業推進部、オムニチャネル</t>
  </si>
  <si>
    <t>商品部
営業推進部
オムニチャネル</t>
  </si>
  <si>
    <t>特にオムニチャネルへの連携方法</t>
  </si>
  <si>
    <t>担当者別 進捗サマリー</t>
  </si>
  <si>
    <r>
      <rPr>
        <i/>
        <sz val="9"/>
        <color rgb="FF666666"/>
        <rFont val="Arial"/>
        <family val="2"/>
      </rPr>
      <t>※ CX</t>
    </r>
    <r>
      <rPr>
        <i/>
        <sz val="9"/>
        <color rgb="FF666666"/>
        <rFont val="DejaVu Sans"/>
        <family val="2"/>
      </rPr>
      <t>進捗管理シートの内容を自動集計（担当者名を含むセルを</t>
    </r>
    <r>
      <rPr>
        <i/>
        <sz val="9"/>
        <color rgb="FF666666"/>
        <rFont val="Arial"/>
        <family val="2"/>
      </rPr>
      <t>COUNTIF</t>
    </r>
    <r>
      <rPr>
        <i/>
        <sz val="9"/>
        <color rgb="FF666666"/>
        <rFont val="DejaVu Sans"/>
        <family val="2"/>
      </rPr>
      <t>）</t>
    </r>
  </si>
  <si>
    <t>担当者</t>
  </si>
  <si>
    <t>総件数</t>
  </si>
  <si>
    <t>完了</t>
  </si>
  <si>
    <t>遅延</t>
  </si>
  <si>
    <t>鈴木佑</t>
  </si>
  <si>
    <t>足立</t>
  </si>
  <si>
    <t>合計</t>
  </si>
  <si>
    <t>【ステータス 凡例】</t>
  </si>
  <si>
    <t>【重要度・緊急度 凡例】</t>
  </si>
  <si>
    <t>全店タイムスケジュールに落とし込み実施</t>
  </si>
  <si>
    <t>■3月27日週進捗
・名刺依頼集計してデザインG作成依頼済
・Cybermail用のグループアドレスの部署確認完了
・店舗の事前準備指示済み
■今週対応
・Outlookで継続配信されるものの一覧
・個人アドレスではない部署の切替タスク確認
■残課題
・メールフォルダ５０GB拡張の遅れ
・名刺作成がCybermail稼働後
・開業支援の掲示物変更確認</t>
  </si>
  <si>
    <t>4/16に商品部にて状況振り返りがあるため、そこで課題を確認し今後の展開を検討予定</t>
  </si>
  <si>
    <r>
      <rPr>
        <b/>
        <sz val="9"/>
        <rFont val="ＭＳ ゴシック"/>
        <family val="3"/>
        <charset val="128"/>
      </rPr>
      <t>3/19導入済
契約</t>
    </r>
    <r>
      <rPr>
        <b/>
        <sz val="9"/>
        <rFont val="Arial"/>
        <family val="2"/>
      </rPr>
      <t>3ID</t>
    </r>
    <r>
      <rPr>
        <b/>
        <sz val="9"/>
        <rFont val="ＭＳ ゴシック"/>
        <family val="3"/>
        <charset val="128"/>
      </rPr>
      <t>（赤星さん、中村桂さん、鈴木恵美さん）</t>
    </r>
    <r>
      <rPr>
        <sz val="9"/>
        <rFont val="DejaVu Sans"/>
        <family val="2"/>
      </rPr>
      <t xml:space="preserve">
</t>
    </r>
    <r>
      <rPr>
        <sz val="9"/>
        <rFont val="ＭＳ ゴシック"/>
        <family val="3"/>
        <charset val="128"/>
      </rPr>
      <t>特別オファー　</t>
    </r>
    <r>
      <rPr>
        <sz val="9"/>
        <rFont val="Arial"/>
        <family val="2"/>
      </rPr>
      <t>99,000</t>
    </r>
    <r>
      <rPr>
        <sz val="9"/>
        <rFont val="ＭＳ ゴシック"/>
        <family val="3"/>
        <charset val="128"/>
      </rPr>
      <t>円</t>
    </r>
    <r>
      <rPr>
        <sz val="9"/>
        <rFont val="Arial"/>
        <family val="2"/>
      </rPr>
      <t>/</t>
    </r>
    <r>
      <rPr>
        <sz val="9"/>
        <rFont val="ＭＳ ゴシック"/>
        <family val="3"/>
        <charset val="128"/>
      </rPr>
      <t>月　チェック件数、</t>
    </r>
    <r>
      <rPr>
        <sz val="9"/>
        <rFont val="Arial"/>
        <family val="2"/>
      </rPr>
      <t>DL</t>
    </r>
    <r>
      <rPr>
        <sz val="9"/>
        <rFont val="ＭＳ ゴシック"/>
        <family val="3"/>
        <charset val="128"/>
      </rPr>
      <t>ひな形　年間無制限</t>
    </r>
    <phoneticPr fontId="15"/>
  </si>
  <si>
    <t>トライアル待ち</t>
  </si>
  <si>
    <t>NotebookLM（GWS導入）に進捗あり
足立：4月中に5社と面談し情報収集</t>
  </si>
  <si>
    <t>足立：マニュアル管理方法を確立・ヘルプドックを試用し使用感の確認</t>
  </si>
  <si>
    <t>マクロ調整中</t>
  </si>
  <si>
    <t>高山さんにヒアリングしたところ経理に引継ぎ中とのこと。
経理で引き継げない内容があればこちらに連絡いただけるそうなので現在待ち状態</t>
  </si>
  <si>
    <t>ルールの仮案は整理済み
Cybermailのテンプレート機能を使用</t>
  </si>
  <si>
    <t>増田支社長にご連絡して以下店舗でQRコードによるアンケートを試験運用予定。
・根洗店
・新初生店
https://forms.office.com/r/YHpAwN80Bd
店舗、場所単位でQRを定義</t>
  </si>
  <si>
    <t>足立：石川さんへ不足データの共有（済）</t>
  </si>
  <si>
    <t>未着手
M365のスケジュール連携は
ツルハドメイン開始後なら可能
杏林堂のライセンスでは不可
≪追記≫
検証はHDで進める想定とのこと
HD情報システム部杉山さん➡鳥居さんへ進言しているとのこと</t>
  </si>
  <si>
    <t>未着手
HDの動向を聞きつつ、進行待ち</t>
  </si>
  <si>
    <t>実施率の配信後の支社長の動き
1週目のタスクチェックに比べて
実行率は上がっているが、2週前のタスクで支社長チェックの漏れが一部あり</t>
  </si>
  <si>
    <t>日中精算の展開は進めている状態
方針はシステム改修をなしで一旦様子見</t>
  </si>
  <si>
    <t>次回説明会まで一旦進捗なし</t>
  </si>
  <si>
    <t xml:space="preserve">経営企画部への紹介
→ランニングコストで断念
</t>
  </si>
  <si>
    <t>3/30　事前会議</t>
  </si>
  <si>
    <t xml:space="preserve">ガイドライン案は作成済み。
</t>
  </si>
  <si>
    <t>4月3日（金）初回MTで体制図の確認
以降週1回の定期MT</t>
  </si>
  <si>
    <t>マーケティング部の業務大幅削減の可能性
池田さんに商談参加依頼済</t>
  </si>
  <si>
    <t>キックオフミーティングまで未着手</t>
  </si>
  <si>
    <t xml:space="preserve">WindowsVisio：追加費用なく作成可能、作りやすいか正直微妙
cacoo：月額550円、ブラウザで使用可能
4月17日説明会参加
</t>
  </si>
  <si>
    <t>欠品対策運用の徹底
・3月末　欠品チェックリマインドRPA作成
経営戦略本部：現地確認</t>
  </si>
  <si>
    <t>■Outlook➡Cybermailに移行させるグループについて
Cybermailでは部署のアドレスを指定した場合に
Outlookのように分解して小河路社長を除くことができません。
よって小河路社長が含まれるべき
Cybermailのグループを確認してほしい</t>
  </si>
  <si>
    <t>NotebookLM（GWS導入）に進捗あり</t>
  </si>
  <si>
    <t>お客様相談室の小田木さん、試験運用許可待ち</t>
  </si>
  <si>
    <t>未着手
M365のスケジュール連携は
ツルハドメイン開始後なら可能
杏林堂のライセンスでは不可</t>
  </si>
  <si>
    <t>イオンリテール
ウエルシア</t>
  </si>
  <si>
    <t>経営企画部への紹介
→ランニングコストで断念</t>
  </si>
  <si>
    <r>
      <rPr>
        <sz val="9"/>
        <rFont val="Arial"/>
        <family val="2"/>
      </rPr>
      <t>3/9</t>
    </r>
    <r>
      <rPr>
        <sz val="9"/>
        <rFont val="DejaVu Sans"/>
        <family val="2"/>
      </rPr>
      <t xml:space="preserve">　ガートナーインクワイアリ
</t>
    </r>
    <r>
      <rPr>
        <sz val="9"/>
        <rFont val="Arial"/>
        <family val="2"/>
      </rPr>
      <t>4/1</t>
    </r>
    <r>
      <rPr>
        <sz val="9"/>
        <rFont val="DejaVu Sans"/>
        <family val="2"/>
      </rPr>
      <t xml:space="preserve">　エスピーネットワーク
</t>
    </r>
    <r>
      <rPr>
        <sz val="9"/>
        <rFont val="Arial"/>
        <family val="2"/>
      </rPr>
      <t>3/30</t>
    </r>
    <r>
      <rPr>
        <sz val="9"/>
        <rFont val="DejaVu Sans"/>
        <family val="2"/>
      </rPr>
      <t>　事前会議</t>
    </r>
  </si>
  <si>
    <t xml:space="preserve">WindowsVisio：追加費用なく作成可能、作りやすいか正直微妙
cacoo：月額550円、ブラウザで使用可能
</t>
  </si>
  <si>
    <r>
      <t xml:space="preserve">業務フロー作成ツール
</t>
    </r>
    <r>
      <rPr>
        <b/>
        <sz val="9"/>
        <color rgb="FF000000"/>
        <rFont val="DejaVu Sans"/>
      </rPr>
      <t>AIによるパフォーマンスが落ちる場合がある
ワークスロップ（Workslop）
→業務の熟練者とAIが組み合わさるとパフォーマンスが上がる</t>
    </r>
  </si>
  <si>
    <r>
      <rPr>
        <sz val="9"/>
        <rFont val="DejaVu Sans"/>
        <family val="2"/>
      </rPr>
      <t xml:space="preserve">欠品対策の浸透が現場まで落ち切れていない
欠品が正確に把握できていない
</t>
    </r>
    <r>
      <rPr>
        <sz val="9"/>
        <rFont val="Arial"/>
        <family val="2"/>
      </rPr>
      <t xml:space="preserve">3/11
</t>
    </r>
    <r>
      <rPr>
        <sz val="9"/>
        <rFont val="DejaVu Sans"/>
        <family val="2"/>
      </rPr>
      <t>・欠品登録されていない
・欠品対策ができていない
欠品調査がワークスケジュールに落ちていない</t>
    </r>
  </si>
  <si>
    <r>
      <rPr>
        <sz val="9"/>
        <rFont val="Arial"/>
        <family val="2"/>
      </rPr>
      <t>3/10</t>
    </r>
    <r>
      <rPr>
        <sz val="9"/>
        <rFont val="DejaVu Sans"/>
        <family val="2"/>
      </rPr>
      <t>　支社長</t>
    </r>
    <r>
      <rPr>
        <sz val="9"/>
        <rFont val="Arial"/>
        <family val="2"/>
      </rPr>
      <t>MTG</t>
    </r>
    <r>
      <rPr>
        <sz val="9"/>
        <rFont val="DejaVu Sans"/>
        <family val="2"/>
      </rPr>
      <t xml:space="preserve">にて運用方法検討
</t>
    </r>
    <r>
      <rPr>
        <sz val="9"/>
        <rFont val="Arial"/>
        <family val="2"/>
      </rPr>
      <t>3/11</t>
    </r>
    <r>
      <rPr>
        <sz val="9"/>
        <rFont val="DejaVu Sans"/>
        <family val="2"/>
      </rPr>
      <t>　</t>
    </r>
    <r>
      <rPr>
        <sz val="9"/>
        <rFont val="Arial"/>
        <family val="2"/>
      </rPr>
      <t>MTG</t>
    </r>
    <r>
      <rPr>
        <sz val="9"/>
        <rFont val="DejaVu Sans"/>
        <family val="2"/>
      </rPr>
      <t xml:space="preserve">実施
・タイスケ落とし込み
</t>
    </r>
    <r>
      <rPr>
        <sz val="9"/>
        <rFont val="Arial"/>
        <family val="2"/>
      </rPr>
      <t>3/18</t>
    </r>
    <r>
      <rPr>
        <sz val="9"/>
        <rFont val="DejaVu Sans"/>
        <family val="2"/>
      </rPr>
      <t xml:space="preserve">　欠品集計機能追加（店舗運営部、商品部）
</t>
    </r>
    <r>
      <rPr>
        <sz val="9"/>
        <rFont val="Arial"/>
        <family val="2"/>
      </rPr>
      <t>3</t>
    </r>
    <r>
      <rPr>
        <sz val="9"/>
        <rFont val="DejaVu Sans"/>
        <family val="2"/>
      </rPr>
      <t>月末　欠品チェックリマインド</t>
    </r>
    <r>
      <rPr>
        <sz val="9"/>
        <rFont val="Arial"/>
        <family val="2"/>
      </rPr>
      <t>RPA</t>
    </r>
    <r>
      <rPr>
        <sz val="9"/>
        <rFont val="DejaVu Sans"/>
        <family val="2"/>
      </rPr>
      <t>作成</t>
    </r>
  </si>
  <si>
    <r>
      <rPr>
        <sz val="9"/>
        <rFont val="ＭＳ ゴシック"/>
        <family val="3"/>
        <charset val="128"/>
      </rPr>
      <t>鈴木孝</t>
    </r>
    <r>
      <rPr>
        <sz val="9"/>
        <rFont val="DejaVu Sans"/>
        <family val="2"/>
      </rPr>
      <t xml:space="preserve">
齋藤</t>
    </r>
    <rPh sb="4" eb="6">
      <t>サイトウ</t>
    </rPh>
    <phoneticPr fontId="15"/>
  </si>
  <si>
    <r>
      <rPr>
        <sz val="9"/>
        <rFont val="ＭＳ ゴシック"/>
        <family val="3"/>
        <charset val="128"/>
      </rPr>
      <t>リセ社より操作説明予定（予定調整中）
法務リサーチ機能</t>
    </r>
    <r>
      <rPr>
        <sz val="9"/>
        <rFont val="Arial"/>
        <family val="2"/>
      </rPr>
      <t>β</t>
    </r>
    <r>
      <rPr>
        <sz val="9"/>
        <rFont val="ＭＳ ゴシック"/>
        <family val="3"/>
        <charset val="128"/>
      </rPr>
      <t>版追加、総務に機能リリースのつなぎまで</t>
    </r>
    <r>
      <rPr>
        <sz val="9"/>
        <rFont val="Arial"/>
        <family val="2"/>
      </rPr>
      <t>CX</t>
    </r>
    <r>
      <rPr>
        <sz val="9"/>
        <rFont val="ＭＳ ゴシック"/>
        <family val="3"/>
        <charset val="128"/>
      </rPr>
      <t xml:space="preserve">で行う
</t>
    </r>
    <phoneticPr fontId="15"/>
  </si>
  <si>
    <r>
      <rPr>
        <sz val="9"/>
        <rFont val="Arial"/>
        <family val="2"/>
      </rPr>
      <t>JAPAN AI</t>
    </r>
    <r>
      <rPr>
        <sz val="9"/>
        <rFont val="DejaVu Sans"/>
        <family val="2"/>
      </rPr>
      <t xml:space="preserve">導入
</t>
    </r>
    <r>
      <rPr>
        <sz val="9"/>
        <rFont val="Arial"/>
        <family val="2"/>
      </rPr>
      <t>NotebookLM</t>
    </r>
    <r>
      <rPr>
        <sz val="9"/>
        <rFont val="DejaVu Sans"/>
        <family val="2"/>
      </rPr>
      <t>（</t>
    </r>
    <r>
      <rPr>
        <sz val="9"/>
        <rFont val="Arial"/>
        <family val="2"/>
      </rPr>
      <t>GWS</t>
    </r>
    <r>
      <rPr>
        <sz val="9"/>
        <rFont val="DejaVu Sans"/>
        <family val="2"/>
      </rPr>
      <t>導入）</t>
    </r>
  </si>
  <si>
    <t>齋藤
石川</t>
    <phoneticPr fontId="15"/>
  </si>
  <si>
    <r>
      <rPr>
        <sz val="9"/>
        <rFont val="Arial"/>
        <family val="2"/>
      </rPr>
      <t>VoC</t>
    </r>
    <r>
      <rPr>
        <sz val="9"/>
        <rFont val="DejaVu Sans"/>
        <family val="2"/>
      </rPr>
      <t>収集→分類→改善のサイクル設計、顧客体験指標の運用
まじかまじボイス
・クレーム
・商品要望
・本社宛クレーム→</t>
    </r>
    <r>
      <rPr>
        <sz val="9"/>
        <rFont val="Arial"/>
        <family val="2"/>
      </rPr>
      <t>THD</t>
    </r>
    <r>
      <rPr>
        <sz val="9"/>
        <rFont val="DejaVu Sans"/>
        <family val="2"/>
      </rPr>
      <t>報告</t>
    </r>
  </si>
  <si>
    <t>増田支社長にご連絡して以下店舗でQRコードによるアンケートを試験運用予定。
・根洗店
・新初生店
現在は増田支社長からお客様相談室の小田木さんへ内容確認依頼中。</t>
  </si>
  <si>
    <r>
      <rPr>
        <sz val="9"/>
        <rFont val="DejaVu Sans"/>
        <family val="2"/>
      </rPr>
      <t>お客様の声
・お客様相談室　</t>
    </r>
    <r>
      <rPr>
        <sz val="9"/>
        <rFont val="Arial"/>
        <family val="2"/>
      </rPr>
      <t xml:space="preserve">HP
</t>
    </r>
    <r>
      <rPr>
        <sz val="9"/>
        <rFont val="DejaVu Sans"/>
        <family val="2"/>
      </rPr>
      <t>・ポイント管理事務局
・店舗紙→</t>
    </r>
    <r>
      <rPr>
        <sz val="9"/>
        <rFont val="Arial"/>
        <family val="2"/>
      </rPr>
      <t>AI</t>
    </r>
    <r>
      <rPr>
        <sz val="9"/>
        <rFont val="DejaVu Sans"/>
        <family val="2"/>
      </rPr>
      <t>ー</t>
    </r>
    <r>
      <rPr>
        <sz val="9"/>
        <rFont val="Arial"/>
        <family val="2"/>
      </rPr>
      <t xml:space="preserve">OCR
</t>
    </r>
    <r>
      <rPr>
        <sz val="9"/>
        <rFont val="DejaVu Sans"/>
        <family val="2"/>
      </rPr>
      <t>・</t>
    </r>
    <r>
      <rPr>
        <sz val="9"/>
        <rFont val="Arial"/>
        <family val="2"/>
      </rPr>
      <t>QR</t>
    </r>
    <r>
      <rPr>
        <sz val="9"/>
        <rFont val="DejaVu Sans"/>
        <family val="2"/>
      </rPr>
      <t>コード　アンケートフォーム（</t>
    </r>
    <r>
      <rPr>
        <sz val="9"/>
        <rFont val="Arial"/>
        <family val="2"/>
      </rPr>
      <t>MS</t>
    </r>
    <r>
      <rPr>
        <sz val="9"/>
        <rFont val="DejaVu Sans"/>
        <family val="2"/>
      </rPr>
      <t>）
・掲示方法</t>
    </r>
  </si>
  <si>
    <t>AOI
PKSHA</t>
  </si>
  <si>
    <r>
      <rPr>
        <sz val="9"/>
        <rFont val="DejaVu Sans"/>
        <family val="2"/>
      </rPr>
      <t>横井：実施状況確認　毎週火曜日
まずは</t>
    </r>
    <r>
      <rPr>
        <sz val="9"/>
        <rFont val="Arial"/>
        <family val="2"/>
      </rPr>
      <t>CX</t>
    </r>
    <r>
      <rPr>
        <sz val="9"/>
        <rFont val="DejaVu Sans"/>
        <family val="2"/>
      </rPr>
      <t xml:space="preserve">推進部で未実施タスク確認
</t>
    </r>
    <r>
      <rPr>
        <sz val="9"/>
        <rFont val="Arial"/>
        <family val="2"/>
      </rPr>
      <t>RPA</t>
    </r>
    <r>
      <rPr>
        <sz val="9"/>
        <rFont val="DejaVu Sans"/>
        <family val="2"/>
      </rPr>
      <t>関連事項の確認</t>
    </r>
  </si>
  <si>
    <t>ガイドライン案は作成済み。
次ステップはガートナーとの壁打ち？</t>
  </si>
  <si>
    <t>バリューチェーン清流化
　業務可視化、ボトルネック特定
　業務のシンプル化、働きやすさ向上、顧客価値向上</t>
  </si>
  <si>
    <t xml:space="preserve">WindowsVisio：追加費用なく作成可能、作りやすいか正直微妙
cacco：月額550円、ブラウザで使用可能
</t>
  </si>
  <si>
    <t>業務フロー作成ツール</t>
  </si>
  <si>
    <t>店舗業績診断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</si>
</sst>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41">
    <font>
      <sz val="11"/>
      <color theme="1"/>
      <name val="游ゴシック"/>
      <family val="2"/>
      <charset val="128"/>
    </font>
    <font>
      <b/>
      <sz val="10"/>
      <color rgb="FFFFFFFF"/>
      <name val="Arial"/>
      <charset val="1"/>
    </font>
    <font>
      <b/>
      <sz val="10"/>
      <color rgb="FFFFFFFF"/>
      <name val="DejaVu Sans"/>
      <family val="2"/>
    </font>
    <font>
      <sz val="9"/>
      <name val="Arial"/>
      <family val="2"/>
    </font>
    <font>
      <sz val="9"/>
      <name val="DejaVu Sans"/>
      <family val="2"/>
    </font>
    <font>
      <b/>
      <sz val="9"/>
      <name val="DejaVu Sans"/>
      <family val="2"/>
    </font>
    <font>
      <b/>
      <sz val="9"/>
      <color rgb="FF444444"/>
      <name val="DejaVu Sans"/>
      <family val="2"/>
    </font>
    <font>
      <b/>
      <sz val="9"/>
      <color rgb="FF444444"/>
      <name val="Arial"/>
      <family val="2"/>
    </font>
    <font>
      <b/>
      <sz val="14"/>
      <color rgb="FF1F497D"/>
      <name val="DejaVu Sans"/>
      <family val="2"/>
    </font>
    <font>
      <i/>
      <sz val="9"/>
      <color rgb="FF666666"/>
      <name val="Arial"/>
      <family val="2"/>
    </font>
    <font>
      <i/>
      <sz val="9"/>
      <color rgb="FF666666"/>
      <name val="DejaVu Sans"/>
      <family val="2"/>
    </font>
    <font>
      <b/>
      <sz val="10"/>
      <name val="DejaVu Sans"/>
      <family val="2"/>
    </font>
    <font>
      <sz val="10"/>
      <name val="Arial"/>
      <family val="2"/>
    </font>
    <font>
      <b/>
      <sz val="10"/>
      <color rgb="FF1F497D"/>
      <name val="DejaVu Sans"/>
      <family val="2"/>
    </font>
    <font>
      <sz val="11"/>
      <color theme="1"/>
      <name val="游ゴシック"/>
      <family val="2"/>
      <charset val="128"/>
    </font>
    <font>
      <sz val="6"/>
      <name val="游ゴシック"/>
      <family val="2"/>
      <charset val="128"/>
    </font>
    <font>
      <b/>
      <sz val="10"/>
      <color rgb="FFFFFFFF"/>
      <name val="Arial"/>
      <family val="2"/>
    </font>
    <font>
      <b/>
      <sz val="10"/>
      <color rgb="FFFFFFFF"/>
      <name val="ＭＳ ゴシック"/>
      <family val="3"/>
      <charset val="128"/>
    </font>
    <font>
      <b/>
      <sz val="8"/>
      <color rgb="FFFFFFFF"/>
      <name val="ＭＳ ゴシック"/>
      <family val="3"/>
      <charset val="128"/>
    </font>
    <font>
      <sz val="9"/>
      <name val="ＭＳ ゴシック"/>
      <family val="3"/>
      <charset val="128"/>
    </font>
    <font>
      <sz val="9"/>
      <name val="DejaVu Sans"/>
      <family val="1"/>
    </font>
    <font>
      <sz val="9"/>
      <name val="DejaVu Sans"/>
      <family val="2"/>
      <charset val="128"/>
    </font>
    <font>
      <sz val="9"/>
      <name val="DejaVu Sans"/>
      <family val="3"/>
      <charset val="128"/>
    </font>
    <font>
      <b/>
      <sz val="9"/>
      <name val="ＭＳ ゴシック"/>
      <family val="3"/>
      <charset val="128"/>
    </font>
    <font>
      <sz val="9"/>
      <name val="Arial"/>
      <family val="3"/>
      <charset val="128"/>
    </font>
    <font>
      <b/>
      <sz val="10"/>
      <color rgb="FFFFFFFF"/>
      <name val="ＭＳ Ｐゴシック"/>
      <family val="2"/>
      <charset val="128"/>
    </font>
    <font>
      <b/>
      <sz val="10"/>
      <color rgb="FFFFFFFF"/>
      <name val="ＭＳ Ｐゴシック"/>
      <family val="3"/>
      <charset val="128"/>
    </font>
    <font>
      <sz val="9"/>
      <name val="ＭＳ Ｐゴシック"/>
      <family val="2"/>
      <charset val="128"/>
    </font>
    <font>
      <sz val="9"/>
      <name val="Arial"/>
      <family val="2"/>
      <charset val="128"/>
    </font>
    <font>
      <b/>
      <sz val="9"/>
      <name val="Arial"/>
      <family val="2"/>
    </font>
    <font>
      <sz val="9"/>
      <color rgb="FF000000"/>
      <name val="DejaVu Sans"/>
    </font>
    <font>
      <sz val="9"/>
      <color rgb="FF000000"/>
      <name val="Arial"/>
    </font>
    <font>
      <sz val="9"/>
      <color rgb="FF000000"/>
      <name val="DejaVu Sans"/>
      <family val="2"/>
    </font>
    <font>
      <sz val="9"/>
      <color rgb="FF000000"/>
      <name val="Arial"/>
      <family val="2"/>
    </font>
    <font>
      <sz val="9"/>
      <color rgb="FF000000"/>
      <name val="ＭＳ ゴシック"/>
      <family val="3"/>
      <charset val="128"/>
    </font>
    <font>
      <sz val="9"/>
      <color rgb="FF000000"/>
      <name val="Arial"/>
      <family val="3"/>
      <charset val="128"/>
    </font>
    <font>
      <sz val="9"/>
      <color rgb="FF000000"/>
      <name val="DejaVu Sans"/>
      <family val="3"/>
      <charset val="128"/>
    </font>
    <font>
      <b/>
      <sz val="9"/>
      <color rgb="FFFF0000"/>
      <name val="DejaVu Sans"/>
    </font>
    <font>
      <sz val="9"/>
      <name val="DejaVu Sans"/>
    </font>
    <font>
      <b/>
      <sz val="9"/>
      <color rgb="FF000000"/>
      <name val="DejaVu Sans"/>
    </font>
    <font>
      <sz val="9"/>
      <color rgb="FF000000"/>
      <name val="DejaVu Sans"/>
      <charset val="1"/>
    </font>
  </fonts>
  <fills count="18">
    <fill>
      <patternFill patternType="none"/>
    </fill>
    <fill>
      <patternFill patternType="gray125"/>
    </fill>
    <fill>
      <patternFill patternType="solid">
        <fgColor rgb="FF1F497D"/>
        <bgColor rgb="FF156082"/>
      </patternFill>
    </fill>
    <fill>
      <patternFill patternType="solid">
        <fgColor rgb="FFF5F5F5"/>
        <bgColor rgb="FFFFFFFF"/>
      </patternFill>
    </fill>
    <fill>
      <patternFill patternType="solid">
        <fgColor rgb="FFFFFFFF"/>
        <bgColor rgb="FFF5F5F5"/>
      </patternFill>
    </fill>
    <fill>
      <patternFill patternType="solid">
        <fgColor rgb="FFD6DCE4"/>
        <bgColor rgb="FFE2CFEF"/>
      </patternFill>
    </fill>
    <fill>
      <patternFill patternType="solid">
        <fgColor rgb="FFC6E0B4"/>
        <bgColor rgb="FFCCCCCC"/>
      </patternFill>
    </fill>
    <fill>
      <patternFill patternType="solid">
        <fgColor rgb="FFBDD7EE"/>
        <bgColor rgb="FFD6DCE4"/>
      </patternFill>
    </fill>
    <fill>
      <patternFill patternType="solid">
        <fgColor rgb="FFE2CFEF"/>
        <bgColor rgb="FFD6DCE4"/>
      </patternFill>
    </fill>
    <fill>
      <patternFill patternType="solid">
        <fgColor rgb="FFFFFF99"/>
        <bgColor rgb="FFFFEAA7"/>
      </patternFill>
    </fill>
    <fill>
      <patternFill patternType="solid">
        <fgColor rgb="FFFFD966"/>
        <bgColor rgb="FFFFEAA7"/>
      </patternFill>
    </fill>
    <fill>
      <patternFill patternType="solid">
        <fgColor rgb="FFBFBFBF"/>
        <bgColor rgb="FFCCCCCC"/>
      </patternFill>
    </fill>
    <fill>
      <patternFill patternType="solid">
        <fgColor rgb="FFFF9999"/>
        <bgColor rgb="FFFF8080"/>
      </patternFill>
    </fill>
    <fill>
      <patternFill patternType="solid">
        <fgColor rgb="FFFFB3B3"/>
        <bgColor rgb="FFFF9999"/>
      </patternFill>
    </fill>
    <fill>
      <patternFill patternType="solid">
        <fgColor rgb="FFFFEAA7"/>
        <bgColor rgb="FFFFFF99"/>
      </patternFill>
    </fill>
    <fill>
      <patternFill patternType="solid">
        <fgColor rgb="FFD9F2D9"/>
        <bgColor rgb="FFD6DCE4"/>
      </patternFill>
    </fill>
    <fill>
      <patternFill patternType="solid">
        <fgColor theme="0"/>
        <bgColor indexed="64"/>
      </patternFill>
    </fill>
    <fill>
      <patternFill patternType="solid">
        <fgColor theme="0" tint="-4.9989318521683403E-2"/>
        <bgColor indexed="64"/>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999999"/>
      </left>
      <right style="thin">
        <color rgb="FF999999"/>
      </right>
      <top style="thin">
        <color rgb="FF999999"/>
      </top>
      <bottom style="thin">
        <color rgb="FF999999"/>
      </bottom>
      <diagonal/>
    </border>
  </borders>
  <cellStyleXfs count="2">
    <xf numFmtId="0" fontId="0" fillId="0" borderId="0">
      <alignment vertical="center"/>
    </xf>
    <xf numFmtId="176" fontId="14" fillId="0" borderId="0">
      <alignment vertical="center"/>
    </xf>
  </cellStyleXfs>
  <cellXfs count="69">
    <xf numFmtId="0" fontId="0" fillId="0" borderId="0" xfId="0">
      <alignment vertical="center"/>
    </xf>
    <xf numFmtId="0" fontId="0" fillId="0" borderId="0" xfId="0" applyAlignment="1"/>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3" borderId="1" xfId="0" applyFont="1" applyFill="1" applyBorder="1" applyAlignment="1">
      <alignment horizontal="center" vertical="top"/>
    </xf>
    <xf numFmtId="0" fontId="4" fillId="3" borderId="1" xfId="0" applyFont="1" applyFill="1" applyBorder="1" applyAlignment="1">
      <alignment vertical="top" wrapText="1"/>
    </xf>
    <xf numFmtId="0" fontId="5" fillId="3" borderId="1" xfId="0" applyFont="1" applyFill="1" applyBorder="1" applyAlignment="1">
      <alignment horizontal="center" vertical="center"/>
    </xf>
    <xf numFmtId="0" fontId="3" fillId="3" borderId="1" xfId="0" applyFont="1" applyFill="1" applyBorder="1" applyAlignment="1">
      <alignment vertical="top" wrapText="1"/>
    </xf>
    <xf numFmtId="0" fontId="4" fillId="3" borderId="1" xfId="0" applyFont="1" applyFill="1" applyBorder="1" applyAlignment="1">
      <alignment horizontal="center" vertical="top" wrapText="1"/>
    </xf>
    <xf numFmtId="0" fontId="3" fillId="4" borderId="1" xfId="0" applyFont="1" applyFill="1" applyBorder="1" applyAlignment="1">
      <alignment horizontal="center" vertical="top"/>
    </xf>
    <xf numFmtId="0" fontId="4" fillId="4" borderId="1" xfId="0" applyFont="1" applyFill="1" applyBorder="1" applyAlignment="1">
      <alignment vertical="top" wrapText="1"/>
    </xf>
    <xf numFmtId="0" fontId="5" fillId="4" borderId="1" xfId="0" applyFont="1" applyFill="1" applyBorder="1" applyAlignment="1">
      <alignment horizontal="center" vertical="center"/>
    </xf>
    <xf numFmtId="0" fontId="4" fillId="4" borderId="1" xfId="0" applyFont="1" applyFill="1" applyBorder="1" applyAlignment="1">
      <alignment horizontal="center" vertical="top" wrapText="1"/>
    </xf>
    <xf numFmtId="0" fontId="3" fillId="4" borderId="1" xfId="0" applyFont="1" applyFill="1" applyBorder="1" applyAlignment="1">
      <alignment vertical="top" wrapText="1"/>
    </xf>
    <xf numFmtId="0" fontId="6" fillId="5" borderId="2" xfId="0" applyFont="1" applyFill="1" applyBorder="1" applyAlignment="1">
      <alignment horizontal="left" vertical="center"/>
    </xf>
    <xf numFmtId="0" fontId="7" fillId="5" borderId="2" xfId="0" applyFont="1" applyFill="1" applyBorder="1" applyAlignment="1">
      <alignment horizontal="center" vertical="center"/>
    </xf>
    <xf numFmtId="0" fontId="8" fillId="0" borderId="0" xfId="0" applyFont="1" applyAlignment="1"/>
    <xf numFmtId="0" fontId="9" fillId="0" borderId="0" xfId="0" applyFont="1" applyAlignment="1"/>
    <xf numFmtId="0" fontId="2" fillId="2" borderId="1" xfId="0" applyFont="1" applyFill="1" applyBorder="1" applyAlignment="1">
      <alignment horizontal="center" vertical="center"/>
    </xf>
    <xf numFmtId="0" fontId="11" fillId="4" borderId="1" xfId="0" applyFont="1" applyFill="1" applyBorder="1" applyAlignment="1">
      <alignment horizontal="center" vertical="center"/>
    </xf>
    <xf numFmtId="0" fontId="12" fillId="6" borderId="1" xfId="0" applyFont="1" applyFill="1" applyBorder="1" applyAlignment="1">
      <alignment horizontal="center" vertical="center"/>
    </xf>
    <xf numFmtId="0" fontId="12" fillId="7" borderId="1" xfId="0" applyFont="1" applyFill="1" applyBorder="1" applyAlignment="1">
      <alignment horizontal="center" vertical="center"/>
    </xf>
    <xf numFmtId="0" fontId="12" fillId="8" borderId="1" xfId="0" applyFont="1" applyFill="1" applyBorder="1" applyAlignment="1">
      <alignment horizontal="center" vertical="center"/>
    </xf>
    <xf numFmtId="0" fontId="12" fillId="9" borderId="1" xfId="0" applyFont="1" applyFill="1" applyBorder="1" applyAlignment="1">
      <alignment horizontal="center" vertical="center"/>
    </xf>
    <xf numFmtId="0" fontId="12" fillId="10" borderId="1" xfId="0" applyFont="1" applyFill="1" applyBorder="1" applyAlignment="1">
      <alignment horizontal="center" vertical="center"/>
    </xf>
    <xf numFmtId="0" fontId="12" fillId="11" borderId="1" xfId="0" applyFont="1" applyFill="1" applyBorder="1" applyAlignment="1">
      <alignment horizontal="center" vertical="center"/>
    </xf>
    <xf numFmtId="0" fontId="12" fillId="12" borderId="1" xfId="0" applyFont="1" applyFill="1" applyBorder="1" applyAlignment="1">
      <alignment horizontal="center" vertical="center"/>
    </xf>
    <xf numFmtId="0" fontId="11" fillId="3" borderId="1" xfId="0" applyFont="1" applyFill="1" applyBorder="1" applyAlignment="1">
      <alignment horizontal="center" vertical="center"/>
    </xf>
    <xf numFmtId="0" fontId="13" fillId="0" borderId="0" xfId="0" applyFont="1" applyAlignment="1"/>
    <xf numFmtId="0" fontId="4" fillId="6" borderId="1" xfId="0" applyFont="1" applyFill="1" applyBorder="1" applyAlignment="1">
      <alignment horizontal="center" vertical="center"/>
    </xf>
    <xf numFmtId="0" fontId="4" fillId="13" borderId="1" xfId="0" applyFont="1" applyFill="1" applyBorder="1" applyAlignment="1">
      <alignment horizontal="center" vertical="center"/>
    </xf>
    <xf numFmtId="0" fontId="4" fillId="12" borderId="1" xfId="0" applyFont="1" applyFill="1" applyBorder="1" applyAlignment="1">
      <alignment horizontal="center" vertical="center"/>
    </xf>
    <xf numFmtId="0" fontId="4" fillId="14" borderId="1" xfId="0" applyFont="1" applyFill="1" applyBorder="1" applyAlignment="1">
      <alignment horizontal="center" vertical="center"/>
    </xf>
    <xf numFmtId="0" fontId="4" fillId="11" borderId="1" xfId="0" applyFont="1" applyFill="1" applyBorder="1" applyAlignment="1">
      <alignment horizontal="center" vertical="center"/>
    </xf>
    <xf numFmtId="0" fontId="4" fillId="15" borderId="1" xfId="0" applyFont="1" applyFill="1" applyBorder="1" applyAlignment="1">
      <alignment horizontal="center" vertical="center"/>
    </xf>
    <xf numFmtId="0" fontId="4" fillId="9" borderId="1" xfId="0" applyFont="1" applyFill="1" applyBorder="1" applyAlignment="1">
      <alignment horizontal="center" vertical="center"/>
    </xf>
    <xf numFmtId="0" fontId="4" fillId="10" borderId="1" xfId="0" applyFont="1" applyFill="1" applyBorder="1" applyAlignment="1">
      <alignment horizontal="center" vertical="center"/>
    </xf>
    <xf numFmtId="0" fontId="4" fillId="7" borderId="1" xfId="0" applyFont="1" applyFill="1" applyBorder="1" applyAlignment="1">
      <alignment horizontal="center" vertical="center"/>
    </xf>
    <xf numFmtId="0" fontId="4" fillId="8" borderId="1" xfId="0" applyFont="1" applyFill="1" applyBorder="1" applyAlignment="1">
      <alignment horizontal="center" vertical="center"/>
    </xf>
    <xf numFmtId="0" fontId="17" fillId="2" borderId="1" xfId="0" applyFont="1" applyFill="1" applyBorder="1" applyAlignment="1">
      <alignment horizontal="center" vertical="center" wrapText="1"/>
    </xf>
    <xf numFmtId="0" fontId="20" fillId="4" borderId="1" xfId="0" applyFont="1" applyFill="1" applyBorder="1" applyAlignment="1">
      <alignment vertical="top" wrapText="1"/>
    </xf>
    <xf numFmtId="0" fontId="22" fillId="4" borderId="1" xfId="0" applyFont="1" applyFill="1" applyBorder="1" applyAlignment="1">
      <alignment vertical="top" wrapText="1"/>
    </xf>
    <xf numFmtId="0" fontId="24" fillId="4" borderId="1" xfId="0" applyFont="1" applyFill="1" applyBorder="1" applyAlignment="1">
      <alignment vertical="top" wrapText="1"/>
    </xf>
    <xf numFmtId="0" fontId="22" fillId="4" borderId="1" xfId="0" applyFont="1" applyFill="1" applyBorder="1" applyAlignment="1">
      <alignment horizontal="center" vertical="top" wrapText="1"/>
    </xf>
    <xf numFmtId="0" fontId="19" fillId="4" borderId="1" xfId="0" applyFont="1" applyFill="1" applyBorder="1" applyAlignment="1">
      <alignment horizontal="center" vertical="top" wrapText="1"/>
    </xf>
    <xf numFmtId="0" fontId="19" fillId="3" borderId="1" xfId="0" applyFont="1" applyFill="1" applyBorder="1" applyAlignment="1">
      <alignment horizontal="center" vertical="top" wrapText="1"/>
    </xf>
    <xf numFmtId="0" fontId="25" fillId="2" borderId="1" xfId="0" applyFont="1" applyFill="1" applyBorder="1" applyAlignment="1">
      <alignment horizontal="center" vertical="center" wrapText="1"/>
    </xf>
    <xf numFmtId="0" fontId="26" fillId="2" borderId="1" xfId="0" applyFont="1" applyFill="1" applyBorder="1" applyAlignment="1">
      <alignment horizontal="center" vertical="center" wrapText="1"/>
    </xf>
    <xf numFmtId="0" fontId="22" fillId="3" borderId="1" xfId="0" applyFont="1" applyFill="1" applyBorder="1" applyAlignment="1">
      <alignment vertical="top" wrapText="1"/>
    </xf>
    <xf numFmtId="0" fontId="19" fillId="4" borderId="1" xfId="0" applyFont="1" applyFill="1" applyBorder="1" applyAlignment="1">
      <alignment vertical="top" wrapText="1"/>
    </xf>
    <xf numFmtId="0" fontId="28" fillId="4" borderId="1" xfId="0" applyFont="1" applyFill="1" applyBorder="1" applyAlignment="1">
      <alignment vertical="top" wrapText="1"/>
    </xf>
    <xf numFmtId="0" fontId="32" fillId="3" borderId="1" xfId="0" applyFont="1" applyFill="1" applyBorder="1" applyAlignment="1">
      <alignment vertical="top" wrapText="1"/>
    </xf>
    <xf numFmtId="0" fontId="30" fillId="3" borderId="1" xfId="0" applyFont="1" applyFill="1" applyBorder="1" applyAlignment="1">
      <alignment vertical="top" wrapText="1"/>
    </xf>
    <xf numFmtId="0" fontId="33" fillId="4" borderId="1" xfId="0" applyFont="1" applyFill="1" applyBorder="1" applyAlignment="1">
      <alignment vertical="top" wrapText="1"/>
    </xf>
    <xf numFmtId="0" fontId="32" fillId="4" borderId="1" xfId="0" applyFont="1" applyFill="1" applyBorder="1" applyAlignment="1">
      <alignment vertical="top" wrapText="1"/>
    </xf>
    <xf numFmtId="0" fontId="35" fillId="4" borderId="1" xfId="0" applyFont="1" applyFill="1" applyBorder="1" applyAlignment="1">
      <alignment vertical="top" wrapText="1"/>
    </xf>
    <xf numFmtId="0" fontId="36" fillId="4" borderId="1" xfId="0" applyFont="1" applyFill="1" applyBorder="1" applyAlignment="1">
      <alignment horizontal="center" vertical="top" wrapText="1"/>
    </xf>
    <xf numFmtId="0" fontId="4" fillId="16" borderId="1" xfId="0" applyFont="1" applyFill="1" applyBorder="1" applyAlignment="1">
      <alignment vertical="top" wrapText="1"/>
    </xf>
    <xf numFmtId="0" fontId="5" fillId="16" borderId="1" xfId="0" applyFont="1" applyFill="1" applyBorder="1" applyAlignment="1">
      <alignment horizontal="center" vertical="center"/>
    </xf>
    <xf numFmtId="0" fontId="4" fillId="16" borderId="1" xfId="0" applyFont="1" applyFill="1" applyBorder="1" applyAlignment="1">
      <alignment horizontal="center" vertical="top" wrapText="1"/>
    </xf>
    <xf numFmtId="0" fontId="19" fillId="16" borderId="1" xfId="0" applyFont="1" applyFill="1" applyBorder="1" applyAlignment="1">
      <alignment horizontal="center" vertical="top" wrapText="1"/>
    </xf>
    <xf numFmtId="0" fontId="3" fillId="16" borderId="1" xfId="0" applyFont="1" applyFill="1" applyBorder="1" applyAlignment="1">
      <alignment vertical="top" wrapText="1"/>
    </xf>
    <xf numFmtId="0" fontId="38" fillId="16" borderId="1" xfId="0" applyFont="1" applyFill="1" applyBorder="1" applyAlignment="1">
      <alignment vertical="top" wrapText="1"/>
    </xf>
    <xf numFmtId="0" fontId="38" fillId="17" borderId="1" xfId="0" applyFont="1" applyFill="1" applyBorder="1" applyAlignment="1">
      <alignment vertical="top" wrapText="1"/>
    </xf>
    <xf numFmtId="0" fontId="33" fillId="3" borderId="1" xfId="0" applyFont="1" applyFill="1" applyBorder="1" applyAlignment="1">
      <alignment vertical="top" wrapText="1"/>
    </xf>
    <xf numFmtId="0" fontId="30" fillId="17" borderId="1" xfId="0" applyFont="1" applyFill="1" applyBorder="1" applyAlignment="1">
      <alignment vertical="top" wrapText="1"/>
    </xf>
    <xf numFmtId="0" fontId="40" fillId="0" borderId="0" xfId="0" applyFont="1">
      <alignment vertical="center"/>
    </xf>
    <xf numFmtId="0" fontId="21" fillId="3" borderId="1" xfId="0" applyFont="1" applyFill="1" applyBorder="1" applyAlignment="1">
      <alignment vertical="top" wrapText="1"/>
    </xf>
    <xf numFmtId="0" fontId="27" fillId="3" borderId="1" xfId="0" applyFont="1" applyFill="1" applyBorder="1" applyAlignment="1">
      <alignment vertical="top" wrapText="1"/>
    </xf>
  </cellXfs>
  <cellStyles count="2">
    <cellStyle name="Excel Built-in Comma [0]" xfId="1" xr:uid="{00000000-0005-0000-0000-000006000000}"/>
    <cellStyle name="標準" xfId="0" builtinId="0"/>
  </cellStyles>
  <dxfs count="52">
    <dxf>
      <fill>
        <patternFill>
          <bgColor rgb="FFE2CFEF"/>
        </patternFill>
      </fill>
    </dxf>
    <dxf>
      <fill>
        <patternFill>
          <bgColor rgb="FFBDD7EE"/>
        </patternFill>
      </fill>
    </dxf>
    <dxf>
      <fill>
        <patternFill>
          <bgColor rgb="FFFFD966"/>
        </patternFill>
      </fill>
    </dxf>
    <dxf>
      <fill>
        <patternFill>
          <bgColor rgb="FFFFFF99"/>
        </patternFill>
      </fill>
    </dxf>
    <dxf>
      <fill>
        <patternFill>
          <bgColor rgb="FFBFBFBF"/>
        </patternFill>
      </fill>
    </dxf>
    <dxf>
      <fill>
        <patternFill>
          <bgColor rgb="FFFF9999"/>
        </patternFill>
      </fill>
    </dxf>
    <dxf>
      <fill>
        <patternFill>
          <bgColor rgb="FFC6E0B4"/>
        </patternFill>
      </fill>
    </dxf>
    <dxf>
      <fill>
        <patternFill>
          <bgColor rgb="FFD9F2D9"/>
        </patternFill>
      </fill>
    </dxf>
    <dxf>
      <fill>
        <patternFill>
          <bgColor rgb="FFFFEAA7"/>
        </patternFill>
      </fill>
    </dxf>
    <dxf>
      <fill>
        <patternFill>
          <bgColor rgb="FFFFB3B3"/>
        </patternFill>
      </fill>
    </dxf>
    <dxf>
      <fill>
        <patternFill>
          <bgColor rgb="FFD9F2D9"/>
        </patternFill>
      </fill>
    </dxf>
    <dxf>
      <fill>
        <patternFill>
          <bgColor rgb="FFFFEAA7"/>
        </patternFill>
      </fill>
    </dxf>
    <dxf>
      <fill>
        <patternFill>
          <bgColor rgb="FFFFB3B3"/>
        </patternFill>
      </fill>
    </dxf>
    <dxf>
      <fill>
        <patternFill>
          <bgColor rgb="FFE2CFEF"/>
        </patternFill>
      </fill>
    </dxf>
    <dxf>
      <fill>
        <patternFill>
          <bgColor rgb="FFBDD7EE"/>
        </patternFill>
      </fill>
    </dxf>
    <dxf>
      <fill>
        <patternFill>
          <bgColor rgb="FFFFD966"/>
        </patternFill>
      </fill>
    </dxf>
    <dxf>
      <fill>
        <patternFill>
          <bgColor rgb="FFFFFF99"/>
        </patternFill>
      </fill>
    </dxf>
    <dxf>
      <fill>
        <patternFill>
          <bgColor rgb="FFBFBFBF"/>
        </patternFill>
      </fill>
    </dxf>
    <dxf>
      <fill>
        <patternFill>
          <bgColor rgb="FFFF9999"/>
        </patternFill>
      </fill>
    </dxf>
    <dxf>
      <fill>
        <patternFill>
          <bgColor rgb="FFC6E0B4"/>
        </patternFill>
      </fill>
    </dxf>
    <dxf>
      <fill>
        <patternFill>
          <bgColor rgb="FFD9F2D9"/>
        </patternFill>
      </fill>
    </dxf>
    <dxf>
      <fill>
        <patternFill>
          <bgColor rgb="FFFFEAA7"/>
        </patternFill>
      </fill>
    </dxf>
    <dxf>
      <fill>
        <patternFill>
          <bgColor rgb="FFFFB3B3"/>
        </patternFill>
      </fill>
    </dxf>
    <dxf>
      <fill>
        <patternFill>
          <bgColor rgb="FFD9F2D9"/>
        </patternFill>
      </fill>
    </dxf>
    <dxf>
      <fill>
        <patternFill>
          <bgColor rgb="FFFFEAA7"/>
        </patternFill>
      </fill>
    </dxf>
    <dxf>
      <fill>
        <patternFill>
          <bgColor rgb="FFFFB3B3"/>
        </patternFill>
      </fill>
    </dxf>
    <dxf>
      <fill>
        <patternFill>
          <bgColor rgb="FFE2CFEF"/>
        </patternFill>
      </fill>
    </dxf>
    <dxf>
      <fill>
        <patternFill>
          <bgColor rgb="FFBDD7EE"/>
        </patternFill>
      </fill>
    </dxf>
    <dxf>
      <fill>
        <patternFill>
          <bgColor rgb="FFFFD966"/>
        </patternFill>
      </fill>
    </dxf>
    <dxf>
      <fill>
        <patternFill>
          <bgColor rgb="FFFFFF99"/>
        </patternFill>
      </fill>
    </dxf>
    <dxf>
      <fill>
        <patternFill>
          <bgColor rgb="FFBFBFBF"/>
        </patternFill>
      </fill>
    </dxf>
    <dxf>
      <fill>
        <patternFill>
          <bgColor rgb="FFFF9999"/>
        </patternFill>
      </fill>
    </dxf>
    <dxf>
      <fill>
        <patternFill>
          <bgColor rgb="FFC6E0B4"/>
        </patternFill>
      </fill>
    </dxf>
    <dxf>
      <fill>
        <patternFill>
          <bgColor rgb="FFD9F2D9"/>
        </patternFill>
      </fill>
    </dxf>
    <dxf>
      <fill>
        <patternFill>
          <bgColor rgb="FFFFEAA7"/>
        </patternFill>
      </fill>
    </dxf>
    <dxf>
      <fill>
        <patternFill>
          <bgColor rgb="FFFFB3B3"/>
        </patternFill>
      </fill>
    </dxf>
    <dxf>
      <fill>
        <patternFill>
          <bgColor rgb="FFD9F2D9"/>
        </patternFill>
      </fill>
    </dxf>
    <dxf>
      <fill>
        <patternFill>
          <bgColor rgb="FFFFEAA7"/>
        </patternFill>
      </fill>
    </dxf>
    <dxf>
      <fill>
        <patternFill>
          <bgColor rgb="FFFFB3B3"/>
        </patternFill>
      </fill>
    </dxf>
    <dxf>
      <fill>
        <patternFill>
          <bgColor rgb="FFE2CFEF"/>
        </patternFill>
      </fill>
    </dxf>
    <dxf>
      <fill>
        <patternFill>
          <bgColor rgb="FFBDD7EE"/>
        </patternFill>
      </fill>
    </dxf>
    <dxf>
      <fill>
        <patternFill>
          <bgColor rgb="FFFFD966"/>
        </patternFill>
      </fill>
    </dxf>
    <dxf>
      <fill>
        <patternFill>
          <bgColor rgb="FFFFFF99"/>
        </patternFill>
      </fill>
    </dxf>
    <dxf>
      <fill>
        <patternFill>
          <bgColor rgb="FFBFBFBF"/>
        </patternFill>
      </fill>
    </dxf>
    <dxf>
      <fill>
        <patternFill>
          <bgColor rgb="FFFF9999"/>
        </patternFill>
      </fill>
    </dxf>
    <dxf>
      <fill>
        <patternFill>
          <bgColor rgb="FFC6E0B4"/>
        </patternFill>
      </fill>
    </dxf>
    <dxf>
      <fill>
        <patternFill>
          <bgColor rgb="FFD9F2D9"/>
        </patternFill>
      </fill>
    </dxf>
    <dxf>
      <fill>
        <patternFill>
          <bgColor rgb="FFFFEAA7"/>
        </patternFill>
      </fill>
    </dxf>
    <dxf>
      <fill>
        <patternFill>
          <bgColor rgb="FFFFB3B3"/>
        </patternFill>
      </fill>
    </dxf>
    <dxf>
      <fill>
        <patternFill>
          <bgColor rgb="FFD9F2D9"/>
        </patternFill>
      </fill>
    </dxf>
    <dxf>
      <fill>
        <patternFill>
          <bgColor rgb="FFFFEAA7"/>
        </patternFill>
      </fill>
    </dxf>
    <dxf>
      <fill>
        <patternFill>
          <bgColor rgb="FFFFB3B3"/>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56082"/>
      <rgbColor rgb="FFBFBFBF"/>
      <rgbColor rgb="FF808080"/>
      <rgbColor rgb="FFE2CFEF"/>
      <rgbColor rgb="FF993366"/>
      <rgbColor rgb="FFF5F5F5"/>
      <rgbColor rgb="FFD6DCE4"/>
      <rgbColor rgb="FF660066"/>
      <rgbColor rgb="FFFF8080"/>
      <rgbColor rgb="FF0066CC"/>
      <rgbColor rgb="FFBDD7EE"/>
      <rgbColor rgb="FF000080"/>
      <rgbColor rgb="FFFF00FF"/>
      <rgbColor rgb="FFFFEAA7"/>
      <rgbColor rgb="FF00FFFF"/>
      <rgbColor rgb="FF800080"/>
      <rgbColor rgb="FF800000"/>
      <rgbColor rgb="FF008080"/>
      <rgbColor rgb="FF0000FF"/>
      <rgbColor rgb="FF00CCFF"/>
      <rgbColor rgb="FFC6E0B4"/>
      <rgbColor rgb="FFD9F2D9"/>
      <rgbColor rgb="FFFFFF99"/>
      <rgbColor rgb="FFCCCCCC"/>
      <rgbColor rgb="FFFF9999"/>
      <rgbColor rgb="FFFFB3B3"/>
      <rgbColor rgb="FFFFD966"/>
      <rgbColor rgb="FF2E75B6"/>
      <rgbColor rgb="FF33CCCC"/>
      <rgbColor rgb="FF99CC00"/>
      <rgbColor rgb="FFFFCC00"/>
      <rgbColor rgb="FFFF9900"/>
      <rgbColor rgb="FFFF6600"/>
      <rgbColor rgb="FF666666"/>
      <rgbColor rgb="FF999999"/>
      <rgbColor rgb="FF003366"/>
      <rgbColor rgb="FF339966"/>
      <rgbColor rgb="FF003300"/>
      <rgbColor rgb="FF333300"/>
      <rgbColor rgb="FF993300"/>
      <rgbColor rgb="FF993366"/>
      <rgbColor rgb="FF1F497D"/>
      <rgbColor rgb="FF4444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鈴木孝" id="{AA9B379F-A177-4C9E-A17C-969FB0AE86F3}">
    <nsvFilter filterId="{00000000-0009-0000-0000-000000000000}" ref="A1:O48" tableId="0">
      <columnFilter colId="8">
        <filter colId="8">
          <x:filters>
            <x:filter val="横井_x000a_鈴木孝"/>
            <x:filter val="横井_x000a_鈴木孝_x000a_足立"/>
            <x:filter val="足立_x000a_鈴木孝"/>
            <x:filter val="鈴木孝"/>
            <x:filter val="鈴木孝_x000a_横井"/>
            <x:filter val="鈴木孝_x000a_石川"/>
            <x:filter val="鈴木孝_x000a_足立"/>
            <x:filter val="鈴木孝_x000a_齋藤"/>
          </x:filters>
        </filter>
      </columnFilter>
    </nsvFilter>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鈴木孝" id="{E9EC39C9-B09F-4337-8E8E-876CC7ACAC27}">
    <nsvFilter filterId="{00000000-0009-0000-0000-000000000000}" ref="A1:O47" tableId="0">
      <columnFilter colId="8">
        <filter colId="8">
          <x:filters>
            <x:filter val="横井_x000a_鈴木孝"/>
            <x:filter val="横井_x000a_鈴木孝_x000a_足立"/>
            <x:filter val="足立_x000a_鈴木孝"/>
            <x:filter val="鈴木孝"/>
            <x:filter val="鈴木孝_x000a_横井"/>
            <x:filter val="鈴木孝_x000a_石川"/>
            <x:filter val="鈴木孝_x000a_足立"/>
            <x:filter val="鈴木孝_x000a_齋藤"/>
          </x:filters>
        </filter>
      </columnFilter>
    </nsvFilter>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鈴木孝" id="{DC38762B-43E0-4CDB-9D9F-D2C7DA72E84C}">
    <nsvFilter filterId="{00000000-0009-0000-0000-000000000000}" ref="A1:O46" tableId="0">
      <columnFilter colId="8">
        <filter colId="8">
          <x:filters>
            <x:filter val="横井_x000a_鈴木孝"/>
            <x:filter val="横井_x000a_鈴木孝_x000a_足立"/>
            <x:filter val="足立_x000a_鈴木孝"/>
            <x:filter val="鈴木孝"/>
            <x:filter val="鈴木孝_x000a_横井"/>
            <x:filter val="鈴木孝_x000a_石川"/>
            <x:filter val="鈴木孝_x000a_足立"/>
            <x:filter val="鈴木孝_x000a_齋藤"/>
          </x:filters>
        </filter>
      </columnFilter>
    </nsvFilter>
  </namedSheetView>
</namedSheetViews>
</file>

<file path=xl/theme/theme1.xml><?xml version="1.0" encoding="utf-8"?>
<a:theme xmlns:a="http://schemas.openxmlformats.org/drawingml/2006/main" name="Office テーマ">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1" Type="http://schemas.microsoft.com/office/2019/04/relationships/namedSheetView" Target="../namedSheetViews/namedSheetView2.xml"/></Relationships>
</file>

<file path=xl/worksheets/_rels/sheet3.xml.rels><?xml version="1.0" encoding="UTF-8" standalone="yes"?>
<Relationships xmlns="http://schemas.openxmlformats.org/package/2006/relationships"><Relationship Id="rId1" Type="http://schemas.microsoft.com/office/2019/04/relationships/namedSheetView" Target="../namedSheetViews/namedSheetView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DFE48-6C18-4831-81B0-8BB805A2CE78}">
  <dimension ref="A1:Q72"/>
  <sheetViews>
    <sheetView zoomScaleNormal="100" workbookViewId="0">
      <pane ySplit="1" topLeftCell="B9" activePane="bottomLeft" state="frozen"/>
      <selection pane="bottomLeft" activeCell="F42" sqref="F42"/>
    </sheetView>
  </sheetViews>
  <sheetFormatPr defaultColWidth="8.5" defaultRowHeight="15" customHeight="1"/>
  <cols>
    <col min="1" max="1" width="4" style="1" customWidth="1"/>
    <col min="2" max="2" width="26" style="1" customWidth="1"/>
    <col min="3" max="4" width="5" style="1" customWidth="1"/>
    <col min="5" max="5" width="14" style="1" customWidth="1"/>
    <col min="6" max="6" width="38" style="1" customWidth="1"/>
    <col min="7" max="7" width="27.875" style="1" customWidth="1"/>
    <col min="8" max="8" width="14" style="1" customWidth="1"/>
    <col min="9" max="11" width="10" style="1" customWidth="1"/>
    <col min="12" max="12" width="28.875" style="1" customWidth="1"/>
    <col min="13" max="14" width="34" style="1" customWidth="1"/>
    <col min="15" max="17" width="30" style="1" customWidth="1"/>
  </cols>
  <sheetData>
    <row r="1" spans="1:17" ht="33">
      <c r="A1" s="2" t="s">
        <v>0</v>
      </c>
      <c r="B1" s="3" t="s">
        <v>1</v>
      </c>
      <c r="C1" s="3" t="s">
        <v>2</v>
      </c>
      <c r="D1" s="3" t="s">
        <v>3</v>
      </c>
      <c r="E1" s="2" t="s">
        <v>4</v>
      </c>
      <c r="F1" s="2" t="s">
        <v>5</v>
      </c>
      <c r="G1" s="47" t="s">
        <v>6</v>
      </c>
      <c r="H1" s="3" t="s">
        <v>7</v>
      </c>
      <c r="I1" s="2" t="s">
        <v>8</v>
      </c>
      <c r="J1" s="46" t="s">
        <v>9</v>
      </c>
      <c r="K1" s="3" t="s">
        <v>10</v>
      </c>
      <c r="L1" s="39" t="s">
        <v>11</v>
      </c>
      <c r="M1" s="39" t="s">
        <v>12</v>
      </c>
      <c r="N1" s="39" t="s">
        <v>13</v>
      </c>
      <c r="O1" s="39" t="s">
        <v>14</v>
      </c>
      <c r="P1" s="39" t="s">
        <v>15</v>
      </c>
      <c r="Q1"/>
    </row>
    <row r="2" spans="1:17" ht="57.75">
      <c r="A2" s="4">
        <f>ROW()-1</f>
        <v>1</v>
      </c>
      <c r="B2" s="5" t="s">
        <v>16</v>
      </c>
      <c r="C2" s="6" t="s">
        <v>17</v>
      </c>
      <c r="D2" s="6" t="s">
        <v>18</v>
      </c>
      <c r="E2" s="5" t="s">
        <v>19</v>
      </c>
      <c r="F2" s="48" t="s">
        <v>20</v>
      </c>
      <c r="G2" s="5" t="s">
        <v>21</v>
      </c>
      <c r="H2" s="7" t="s">
        <v>22</v>
      </c>
      <c r="I2" s="8" t="s">
        <v>23</v>
      </c>
      <c r="J2" s="45" t="s">
        <v>24</v>
      </c>
      <c r="K2" s="6" t="s">
        <v>25</v>
      </c>
      <c r="L2" s="5"/>
      <c r="M2" s="51" t="s">
        <v>26</v>
      </c>
      <c r="N2" s="52" t="s">
        <v>27</v>
      </c>
      <c r="O2" s="7"/>
      <c r="P2" s="7"/>
      <c r="Q2"/>
    </row>
    <row r="3" spans="1:17" ht="207.75" customHeight="1">
      <c r="A3" s="9">
        <f t="shared" ref="A3:A42" si="0">ROW()-1</f>
        <v>2</v>
      </c>
      <c r="B3" s="10" t="s">
        <v>28</v>
      </c>
      <c r="C3" s="11" t="s">
        <v>17</v>
      </c>
      <c r="D3" s="11" t="s">
        <v>17</v>
      </c>
      <c r="E3" s="10" t="s">
        <v>29</v>
      </c>
      <c r="F3" s="49" t="s">
        <v>30</v>
      </c>
      <c r="G3" s="41" t="s">
        <v>31</v>
      </c>
      <c r="H3" s="10" t="s">
        <v>32</v>
      </c>
      <c r="I3" s="12" t="s">
        <v>33</v>
      </c>
      <c r="J3" s="12" t="s">
        <v>34</v>
      </c>
      <c r="K3" s="11" t="s">
        <v>25</v>
      </c>
      <c r="L3" s="40"/>
      <c r="M3" s="40" t="s">
        <v>35</v>
      </c>
      <c r="N3" s="10" t="s">
        <v>36</v>
      </c>
      <c r="O3" s="10"/>
      <c r="P3" s="10"/>
      <c r="Q3"/>
    </row>
    <row r="4" spans="1:17" ht="64.5" customHeight="1">
      <c r="A4" s="4">
        <f t="shared" si="0"/>
        <v>3</v>
      </c>
      <c r="B4" s="5" t="s">
        <v>37</v>
      </c>
      <c r="C4" s="6" t="s">
        <v>17</v>
      </c>
      <c r="D4" s="6" t="s">
        <v>17</v>
      </c>
      <c r="E4" s="7" t="s">
        <v>38</v>
      </c>
      <c r="F4" s="7" t="s">
        <v>39</v>
      </c>
      <c r="G4" s="7"/>
      <c r="H4" s="5" t="s">
        <v>40</v>
      </c>
      <c r="I4" s="8" t="s">
        <v>41</v>
      </c>
      <c r="J4" s="8" t="s">
        <v>41</v>
      </c>
      <c r="K4" s="6" t="s">
        <v>25</v>
      </c>
      <c r="L4" s="5" t="s">
        <v>42</v>
      </c>
      <c r="M4" s="5" t="s">
        <v>43</v>
      </c>
      <c r="N4" s="5" t="s">
        <v>44</v>
      </c>
      <c r="O4" s="5"/>
      <c r="P4" s="5"/>
      <c r="Q4"/>
    </row>
    <row r="5" spans="1:17" ht="120" customHeight="1">
      <c r="A5" s="9">
        <f t="shared" si="0"/>
        <v>4</v>
      </c>
      <c r="B5" s="10" t="s">
        <v>45</v>
      </c>
      <c r="C5" s="11" t="s">
        <v>18</v>
      </c>
      <c r="D5" s="11" t="s">
        <v>46</v>
      </c>
      <c r="E5" s="10" t="s">
        <v>47</v>
      </c>
      <c r="F5" s="41" t="s">
        <v>48</v>
      </c>
      <c r="G5" s="41" t="s">
        <v>49</v>
      </c>
      <c r="H5" s="10" t="s">
        <v>50</v>
      </c>
      <c r="I5" s="56" t="s">
        <v>51</v>
      </c>
      <c r="J5" s="44" t="s">
        <v>52</v>
      </c>
      <c r="K5" s="11" t="s">
        <v>25</v>
      </c>
      <c r="L5" s="41"/>
      <c r="M5" s="41" t="s">
        <v>53</v>
      </c>
      <c r="N5" s="55" t="s">
        <v>54</v>
      </c>
      <c r="O5" s="13"/>
      <c r="P5" s="13"/>
      <c r="Q5"/>
    </row>
    <row r="6" spans="1:17" ht="63.75" customHeight="1">
      <c r="A6" s="4">
        <f t="shared" si="0"/>
        <v>5</v>
      </c>
      <c r="B6" s="5" t="s">
        <v>55</v>
      </c>
      <c r="C6" s="6" t="s">
        <v>17</v>
      </c>
      <c r="D6" s="6" t="s">
        <v>17</v>
      </c>
      <c r="E6" s="7" t="s">
        <v>56</v>
      </c>
      <c r="F6" s="5" t="s">
        <v>57</v>
      </c>
      <c r="G6" s="5"/>
      <c r="H6" s="7" t="s">
        <v>58</v>
      </c>
      <c r="I6" s="8" t="s">
        <v>59</v>
      </c>
      <c r="J6" s="8" t="s">
        <v>41</v>
      </c>
      <c r="K6" s="6" t="s">
        <v>25</v>
      </c>
      <c r="L6" s="67" t="s">
        <v>60</v>
      </c>
      <c r="M6" s="5" t="s">
        <v>61</v>
      </c>
      <c r="N6" s="7" t="s">
        <v>62</v>
      </c>
      <c r="O6" s="7"/>
      <c r="P6" s="7"/>
      <c r="Q6"/>
    </row>
    <row r="7" spans="1:17" ht="27.75" customHeight="1">
      <c r="A7" s="9">
        <f t="shared" si="0"/>
        <v>6</v>
      </c>
      <c r="B7" s="10" t="s">
        <v>63</v>
      </c>
      <c r="C7" s="11" t="s">
        <v>17</v>
      </c>
      <c r="D7" s="11" t="s">
        <v>17</v>
      </c>
      <c r="E7" s="13" t="s">
        <v>56</v>
      </c>
      <c r="F7" s="10" t="s">
        <v>64</v>
      </c>
      <c r="G7" s="10"/>
      <c r="H7" s="13" t="s">
        <v>58</v>
      </c>
      <c r="I7" s="12" t="s">
        <v>59</v>
      </c>
      <c r="J7" s="12" t="s">
        <v>41</v>
      </c>
      <c r="K7" s="11" t="s">
        <v>25</v>
      </c>
      <c r="L7" s="13" t="s">
        <v>65</v>
      </c>
      <c r="M7" s="53" t="s">
        <v>66</v>
      </c>
      <c r="N7" s="13" t="s">
        <v>62</v>
      </c>
      <c r="O7" s="13"/>
      <c r="P7" s="13"/>
      <c r="Q7"/>
    </row>
    <row r="8" spans="1:17" ht="51.75" customHeight="1">
      <c r="A8" s="4">
        <f t="shared" si="0"/>
        <v>7</v>
      </c>
      <c r="B8" s="5" t="s">
        <v>67</v>
      </c>
      <c r="C8" s="6" t="s">
        <v>17</v>
      </c>
      <c r="D8" s="6" t="s">
        <v>18</v>
      </c>
      <c r="E8" s="5" t="s">
        <v>68</v>
      </c>
      <c r="F8" s="5" t="s">
        <v>69</v>
      </c>
      <c r="G8" s="5"/>
      <c r="H8" s="5" t="s">
        <v>70</v>
      </c>
      <c r="I8" s="8" t="s">
        <v>71</v>
      </c>
      <c r="J8" s="8"/>
      <c r="K8" s="6" t="s">
        <v>25</v>
      </c>
      <c r="L8" s="7"/>
      <c r="M8" s="7" t="s">
        <v>72</v>
      </c>
      <c r="N8" s="7" t="s">
        <v>73</v>
      </c>
      <c r="O8" s="7"/>
      <c r="P8" s="7"/>
      <c r="Q8"/>
    </row>
    <row r="9" spans="1:17" ht="78" customHeight="1">
      <c r="A9" s="9">
        <f t="shared" si="0"/>
        <v>8</v>
      </c>
      <c r="B9" s="10" t="s">
        <v>74</v>
      </c>
      <c r="C9" s="11" t="s">
        <v>18</v>
      </c>
      <c r="D9" s="11" t="s">
        <v>18</v>
      </c>
      <c r="E9" s="13" t="s">
        <v>75</v>
      </c>
      <c r="F9" s="13" t="s">
        <v>76</v>
      </c>
      <c r="G9" s="50" t="s">
        <v>77</v>
      </c>
      <c r="H9" s="13" t="s">
        <v>78</v>
      </c>
      <c r="I9" s="12" t="s">
        <v>79</v>
      </c>
      <c r="J9" s="12"/>
      <c r="K9" s="11" t="s">
        <v>25</v>
      </c>
      <c r="L9" s="10"/>
      <c r="M9" s="10" t="s">
        <v>80</v>
      </c>
      <c r="N9" s="10" t="s">
        <v>81</v>
      </c>
      <c r="O9" s="10"/>
      <c r="P9" s="10"/>
      <c r="Q9"/>
    </row>
    <row r="10" spans="1:17" ht="39" customHeight="1">
      <c r="A10" s="4">
        <f t="shared" si="0"/>
        <v>9</v>
      </c>
      <c r="B10" s="5" t="s">
        <v>82</v>
      </c>
      <c r="C10" s="6" t="s">
        <v>17</v>
      </c>
      <c r="D10" s="6" t="s">
        <v>46</v>
      </c>
      <c r="E10" s="5" t="s">
        <v>83</v>
      </c>
      <c r="F10" s="5" t="s">
        <v>84</v>
      </c>
      <c r="G10" s="5"/>
      <c r="H10" s="5" t="s">
        <v>85</v>
      </c>
      <c r="I10" s="45" t="s">
        <v>86</v>
      </c>
      <c r="J10" s="8"/>
      <c r="K10" s="6" t="s">
        <v>87</v>
      </c>
      <c r="L10" s="5"/>
      <c r="M10" s="5" t="s">
        <v>88</v>
      </c>
      <c r="N10" s="5" t="s">
        <v>89</v>
      </c>
      <c r="O10" s="5"/>
      <c r="P10" s="5"/>
      <c r="Q10"/>
    </row>
    <row r="11" spans="1:17" ht="60.75" customHeight="1">
      <c r="A11" s="9">
        <f t="shared" si="0"/>
        <v>10</v>
      </c>
      <c r="B11" s="10" t="s">
        <v>90</v>
      </c>
      <c r="C11" s="11" t="s">
        <v>18</v>
      </c>
      <c r="D11" s="11" t="s">
        <v>18</v>
      </c>
      <c r="E11" s="10" t="s">
        <v>91</v>
      </c>
      <c r="F11" s="13" t="s">
        <v>92</v>
      </c>
      <c r="G11" s="13"/>
      <c r="H11" s="10" t="s">
        <v>93</v>
      </c>
      <c r="I11" s="12" t="s">
        <v>94</v>
      </c>
      <c r="J11" s="12"/>
      <c r="K11" s="11" t="s">
        <v>25</v>
      </c>
      <c r="L11" s="10"/>
      <c r="M11" s="10" t="s">
        <v>95</v>
      </c>
      <c r="N11" s="10" t="s">
        <v>96</v>
      </c>
      <c r="O11" s="10"/>
      <c r="P11" s="10"/>
      <c r="Q11"/>
    </row>
    <row r="12" spans="1:17" ht="62.25" customHeight="1">
      <c r="A12" s="4">
        <f t="shared" si="0"/>
        <v>11</v>
      </c>
      <c r="B12" s="5" t="s">
        <v>97</v>
      </c>
      <c r="C12" s="6" t="s">
        <v>18</v>
      </c>
      <c r="D12" s="6" t="s">
        <v>18</v>
      </c>
      <c r="E12" s="5" t="s">
        <v>98</v>
      </c>
      <c r="F12" s="7" t="s">
        <v>99</v>
      </c>
      <c r="G12" s="7"/>
      <c r="H12" s="5" t="s">
        <v>93</v>
      </c>
      <c r="I12" s="8" t="s">
        <v>94</v>
      </c>
      <c r="J12" s="8" t="s">
        <v>41</v>
      </c>
      <c r="K12" s="6" t="s">
        <v>25</v>
      </c>
      <c r="L12" s="68" t="s">
        <v>100</v>
      </c>
      <c r="M12" s="5" t="s">
        <v>101</v>
      </c>
      <c r="N12" s="5" t="s">
        <v>102</v>
      </c>
      <c r="O12" s="5"/>
      <c r="P12" s="5"/>
      <c r="Q12"/>
    </row>
    <row r="13" spans="1:17" ht="87.75" customHeight="1">
      <c r="A13" s="9">
        <f t="shared" si="0"/>
        <v>12</v>
      </c>
      <c r="B13" s="10" t="s">
        <v>103</v>
      </c>
      <c r="C13" s="11" t="s">
        <v>17</v>
      </c>
      <c r="D13" s="11" t="s">
        <v>17</v>
      </c>
      <c r="E13" s="10" t="s">
        <v>104</v>
      </c>
      <c r="F13" s="10" t="s">
        <v>105</v>
      </c>
      <c r="G13" s="10"/>
      <c r="H13" s="10" t="s">
        <v>106</v>
      </c>
      <c r="I13" s="12" t="s">
        <v>71</v>
      </c>
      <c r="J13" s="12" t="s">
        <v>71</v>
      </c>
      <c r="K13" s="11" t="s">
        <v>25</v>
      </c>
      <c r="L13" s="10"/>
      <c r="M13" s="10" t="s">
        <v>107</v>
      </c>
      <c r="N13" s="10" t="s">
        <v>108</v>
      </c>
      <c r="O13" s="10"/>
      <c r="P13" s="10"/>
      <c r="Q13"/>
    </row>
    <row r="14" spans="1:17" ht="27.75" customHeight="1">
      <c r="A14" s="4">
        <f t="shared" si="0"/>
        <v>13</v>
      </c>
      <c r="B14" s="5" t="s">
        <v>109</v>
      </c>
      <c r="C14" s="6" t="s">
        <v>17</v>
      </c>
      <c r="D14" s="6" t="s">
        <v>17</v>
      </c>
      <c r="E14" s="5" t="s">
        <v>110</v>
      </c>
      <c r="F14" s="5" t="s">
        <v>111</v>
      </c>
      <c r="G14" s="5"/>
      <c r="H14" s="5" t="s">
        <v>32</v>
      </c>
      <c r="I14" s="8" t="s">
        <v>94</v>
      </c>
      <c r="J14" s="8" t="s">
        <v>34</v>
      </c>
      <c r="K14" s="6" t="s">
        <v>25</v>
      </c>
      <c r="L14" s="7"/>
      <c r="M14" s="7" t="s">
        <v>112</v>
      </c>
      <c r="N14" s="5" t="s">
        <v>113</v>
      </c>
      <c r="O14" s="5"/>
      <c r="P14" s="5"/>
      <c r="Q14"/>
    </row>
    <row r="15" spans="1:17" ht="84" customHeight="1">
      <c r="A15" s="9">
        <f t="shared" si="0"/>
        <v>14</v>
      </c>
      <c r="B15" s="13" t="s">
        <v>114</v>
      </c>
      <c r="C15" s="11" t="s">
        <v>18</v>
      </c>
      <c r="D15" s="11" t="s">
        <v>46</v>
      </c>
      <c r="E15" s="13" t="s">
        <v>115</v>
      </c>
      <c r="F15" s="10" t="s">
        <v>116</v>
      </c>
      <c r="G15" s="10"/>
      <c r="H15" s="10" t="s">
        <v>117</v>
      </c>
      <c r="I15" s="12" t="s">
        <v>34</v>
      </c>
      <c r="J15" s="12" t="s">
        <v>34</v>
      </c>
      <c r="K15" s="11" t="s">
        <v>87</v>
      </c>
      <c r="L15" s="10"/>
      <c r="M15" s="10" t="s">
        <v>118</v>
      </c>
      <c r="N15" s="10" t="s">
        <v>119</v>
      </c>
      <c r="O15" s="10"/>
      <c r="P15" s="10"/>
      <c r="Q15"/>
    </row>
    <row r="16" spans="1:17" ht="72" customHeight="1">
      <c r="A16" s="4">
        <f t="shared" si="0"/>
        <v>15</v>
      </c>
      <c r="B16" s="7" t="s">
        <v>120</v>
      </c>
      <c r="C16" s="6" t="s">
        <v>17</v>
      </c>
      <c r="D16" s="6" t="s">
        <v>17</v>
      </c>
      <c r="E16" s="7" t="s">
        <v>121</v>
      </c>
      <c r="F16" s="5" t="s">
        <v>122</v>
      </c>
      <c r="G16" s="5"/>
      <c r="H16" s="7" t="s">
        <v>123</v>
      </c>
      <c r="I16" s="8" t="s">
        <v>71</v>
      </c>
      <c r="J16" s="8"/>
      <c r="K16" s="6" t="s">
        <v>25</v>
      </c>
      <c r="L16" s="5"/>
      <c r="M16" s="5" t="s">
        <v>124</v>
      </c>
      <c r="N16" s="5" t="s">
        <v>125</v>
      </c>
      <c r="O16" s="5"/>
      <c r="P16" s="5"/>
      <c r="Q16"/>
    </row>
    <row r="17" spans="1:17" ht="27.75" customHeight="1">
      <c r="A17" s="9">
        <f t="shared" si="0"/>
        <v>16</v>
      </c>
      <c r="B17" s="10" t="s">
        <v>126</v>
      </c>
      <c r="C17" s="11" t="s">
        <v>18</v>
      </c>
      <c r="D17" s="11" t="s">
        <v>18</v>
      </c>
      <c r="E17" s="10" t="s">
        <v>127</v>
      </c>
      <c r="F17" s="10" t="s">
        <v>128</v>
      </c>
      <c r="G17" s="10"/>
      <c r="H17" s="13" t="s">
        <v>58</v>
      </c>
      <c r="I17" s="12" t="s">
        <v>71</v>
      </c>
      <c r="J17" s="12"/>
      <c r="K17" s="11" t="s">
        <v>129</v>
      </c>
      <c r="L17" s="13"/>
      <c r="M17" s="13" t="s">
        <v>130</v>
      </c>
      <c r="N17" s="10" t="s">
        <v>131</v>
      </c>
      <c r="O17" s="10"/>
      <c r="P17" s="10"/>
      <c r="Q17"/>
    </row>
    <row r="18" spans="1:17" ht="27.75" customHeight="1">
      <c r="A18" s="4">
        <f t="shared" si="0"/>
        <v>17</v>
      </c>
      <c r="B18" s="5" t="s">
        <v>132</v>
      </c>
      <c r="C18" s="6" t="s">
        <v>18</v>
      </c>
      <c r="D18" s="6" t="s">
        <v>18</v>
      </c>
      <c r="E18" s="5" t="s">
        <v>133</v>
      </c>
      <c r="F18" s="5" t="s">
        <v>134</v>
      </c>
      <c r="G18" s="5"/>
      <c r="H18" s="7" t="s">
        <v>58</v>
      </c>
      <c r="I18" s="8" t="s">
        <v>135</v>
      </c>
      <c r="J18" s="8"/>
      <c r="K18" s="6" t="s">
        <v>87</v>
      </c>
      <c r="L18" s="5"/>
      <c r="M18" s="5" t="s">
        <v>136</v>
      </c>
      <c r="N18" s="7"/>
      <c r="O18" s="7"/>
      <c r="P18" s="7"/>
      <c r="Q18"/>
    </row>
    <row r="19" spans="1:17" ht="171" customHeight="1">
      <c r="A19" s="9">
        <f t="shared" si="0"/>
        <v>18</v>
      </c>
      <c r="B19" s="13" t="s">
        <v>137</v>
      </c>
      <c r="C19" s="11" t="s">
        <v>17</v>
      </c>
      <c r="D19" s="11" t="s">
        <v>18</v>
      </c>
      <c r="E19" s="10" t="s">
        <v>138</v>
      </c>
      <c r="F19" s="53" t="s">
        <v>139</v>
      </c>
      <c r="G19" s="13"/>
      <c r="H19" s="53" t="s">
        <v>140</v>
      </c>
      <c r="I19" s="12" t="s">
        <v>141</v>
      </c>
      <c r="J19" s="12" t="s">
        <v>71</v>
      </c>
      <c r="K19" s="11" t="s">
        <v>25</v>
      </c>
      <c r="L19" s="10"/>
      <c r="M19" s="54" t="s">
        <v>142</v>
      </c>
      <c r="N19" s="13" t="s">
        <v>143</v>
      </c>
      <c r="O19" s="13"/>
      <c r="P19" s="13"/>
      <c r="Q19"/>
    </row>
    <row r="20" spans="1:17" ht="79.5" customHeight="1">
      <c r="A20" s="4">
        <f t="shared" si="0"/>
        <v>19</v>
      </c>
      <c r="B20" s="7" t="s">
        <v>144</v>
      </c>
      <c r="C20" s="6" t="s">
        <v>17</v>
      </c>
      <c r="D20" s="6" t="s">
        <v>17</v>
      </c>
      <c r="E20" s="7" t="s">
        <v>145</v>
      </c>
      <c r="F20" s="5" t="s">
        <v>146</v>
      </c>
      <c r="G20" s="5"/>
      <c r="H20" s="5" t="s">
        <v>32</v>
      </c>
      <c r="I20" s="8" t="s">
        <v>135</v>
      </c>
      <c r="J20" s="8"/>
      <c r="K20" s="6" t="s">
        <v>25</v>
      </c>
      <c r="L20" s="7"/>
      <c r="M20" s="7" t="s">
        <v>147</v>
      </c>
      <c r="N20" s="7"/>
      <c r="O20" s="7"/>
      <c r="P20" s="7"/>
      <c r="Q20"/>
    </row>
    <row r="21" spans="1:17" ht="158.25" customHeight="1">
      <c r="A21" s="9">
        <f t="shared" si="0"/>
        <v>20</v>
      </c>
      <c r="B21" s="10" t="s">
        <v>148</v>
      </c>
      <c r="C21" s="11" t="s">
        <v>18</v>
      </c>
      <c r="D21" s="11" t="s">
        <v>18</v>
      </c>
      <c r="E21" s="13" t="s">
        <v>149</v>
      </c>
      <c r="F21" s="13" t="s">
        <v>150</v>
      </c>
      <c r="G21" s="13" t="s">
        <v>151</v>
      </c>
      <c r="H21" s="10" t="s">
        <v>32</v>
      </c>
      <c r="I21" s="44" t="s">
        <v>152</v>
      </c>
      <c r="J21" s="12" t="s">
        <v>153</v>
      </c>
      <c r="K21" s="11" t="s">
        <v>87</v>
      </c>
      <c r="L21" s="13"/>
      <c r="M21" s="49" t="s">
        <v>154</v>
      </c>
      <c r="N21" s="10" t="s">
        <v>155</v>
      </c>
      <c r="O21" s="10"/>
      <c r="P21" s="10"/>
      <c r="Q21"/>
    </row>
    <row r="22" spans="1:17" ht="110.25" customHeight="1">
      <c r="A22" s="4">
        <f t="shared" si="0"/>
        <v>21</v>
      </c>
      <c r="B22" s="5" t="s">
        <v>156</v>
      </c>
      <c r="C22" s="6" t="s">
        <v>17</v>
      </c>
      <c r="D22" s="6" t="s">
        <v>46</v>
      </c>
      <c r="E22" s="5" t="s">
        <v>157</v>
      </c>
      <c r="F22" s="5" t="s">
        <v>158</v>
      </c>
      <c r="G22" s="5"/>
      <c r="H22" s="7" t="s">
        <v>159</v>
      </c>
      <c r="I22" s="8" t="s">
        <v>160</v>
      </c>
      <c r="J22" s="8" t="s">
        <v>34</v>
      </c>
      <c r="K22" s="6" t="s">
        <v>87</v>
      </c>
      <c r="L22" s="5"/>
      <c r="M22" s="5" t="s">
        <v>161</v>
      </c>
      <c r="N22" s="5" t="s">
        <v>162</v>
      </c>
      <c r="O22" s="5"/>
      <c r="P22" s="5"/>
      <c r="Q22"/>
    </row>
    <row r="23" spans="1:17" ht="141.75" customHeight="1">
      <c r="A23" s="9">
        <f t="shared" si="0"/>
        <v>22</v>
      </c>
      <c r="B23" s="10" t="s">
        <v>163</v>
      </c>
      <c r="C23" s="11" t="s">
        <v>46</v>
      </c>
      <c r="D23" s="11" t="s">
        <v>46</v>
      </c>
      <c r="E23" s="10" t="s">
        <v>163</v>
      </c>
      <c r="F23" s="10" t="s">
        <v>164</v>
      </c>
      <c r="G23" s="10"/>
      <c r="H23" s="13" t="s">
        <v>159</v>
      </c>
      <c r="I23" s="12" t="s">
        <v>86</v>
      </c>
      <c r="J23" s="12"/>
      <c r="K23" s="11" t="s">
        <v>87</v>
      </c>
      <c r="L23" s="13"/>
      <c r="M23" s="13"/>
      <c r="N23" s="10" t="s">
        <v>165</v>
      </c>
      <c r="O23" s="10"/>
      <c r="P23" s="10"/>
      <c r="Q23"/>
    </row>
    <row r="24" spans="1:17" ht="75" customHeight="1">
      <c r="A24" s="4">
        <f t="shared" si="0"/>
        <v>23</v>
      </c>
      <c r="B24" s="7" t="s">
        <v>166</v>
      </c>
      <c r="C24" s="6" t="s">
        <v>17</v>
      </c>
      <c r="D24" s="6" t="s">
        <v>46</v>
      </c>
      <c r="E24" s="7" t="s">
        <v>166</v>
      </c>
      <c r="F24" s="7" t="s">
        <v>167</v>
      </c>
      <c r="G24" s="7"/>
      <c r="H24" s="5" t="s">
        <v>168</v>
      </c>
      <c r="I24" s="8" t="s">
        <v>33</v>
      </c>
      <c r="J24" s="8" t="s">
        <v>34</v>
      </c>
      <c r="K24" s="6" t="s">
        <v>25</v>
      </c>
      <c r="L24" s="5"/>
      <c r="M24" s="51" t="s">
        <v>169</v>
      </c>
      <c r="N24" s="5" t="s">
        <v>170</v>
      </c>
      <c r="O24" s="5"/>
      <c r="P24" s="5"/>
      <c r="Q24"/>
    </row>
    <row r="25" spans="1:17" ht="27.75" customHeight="1">
      <c r="A25" s="9">
        <f t="shared" si="0"/>
        <v>24</v>
      </c>
      <c r="B25" s="10" t="s">
        <v>171</v>
      </c>
      <c r="C25" s="11" t="s">
        <v>17</v>
      </c>
      <c r="D25" s="11" t="s">
        <v>17</v>
      </c>
      <c r="E25" s="10" t="s">
        <v>172</v>
      </c>
      <c r="F25" s="10" t="s">
        <v>173</v>
      </c>
      <c r="G25" s="10"/>
      <c r="H25" s="10" t="s">
        <v>174</v>
      </c>
      <c r="I25" s="12" t="s">
        <v>34</v>
      </c>
      <c r="J25" s="12" t="s">
        <v>34</v>
      </c>
      <c r="K25" s="11" t="s">
        <v>25</v>
      </c>
      <c r="L25" s="10"/>
      <c r="M25" s="10" t="s">
        <v>175</v>
      </c>
      <c r="N25" s="13" t="s">
        <v>176</v>
      </c>
      <c r="O25" s="13"/>
      <c r="P25" s="13"/>
      <c r="Q25"/>
    </row>
    <row r="26" spans="1:17" ht="69.75" customHeight="1">
      <c r="A26" s="4">
        <f t="shared" si="0"/>
        <v>25</v>
      </c>
      <c r="B26" s="5" t="s">
        <v>177</v>
      </c>
      <c r="C26" s="6" t="s">
        <v>18</v>
      </c>
      <c r="D26" s="6" t="s">
        <v>46</v>
      </c>
      <c r="E26" s="5" t="s">
        <v>178</v>
      </c>
      <c r="F26" s="5" t="s">
        <v>179</v>
      </c>
      <c r="G26" s="5"/>
      <c r="H26" s="5" t="s">
        <v>117</v>
      </c>
      <c r="I26" s="8" t="s">
        <v>180</v>
      </c>
      <c r="J26" s="8" t="s">
        <v>180</v>
      </c>
      <c r="K26" s="6" t="s">
        <v>25</v>
      </c>
      <c r="L26" s="5"/>
      <c r="M26" s="5" t="s">
        <v>181</v>
      </c>
      <c r="N26" s="5" t="s">
        <v>182</v>
      </c>
      <c r="O26" s="5"/>
      <c r="P26" s="5"/>
      <c r="Q26"/>
    </row>
    <row r="27" spans="1:17" ht="60">
      <c r="A27" s="9">
        <f t="shared" si="0"/>
        <v>26</v>
      </c>
      <c r="B27" s="10" t="s">
        <v>183</v>
      </c>
      <c r="C27" s="11" t="s">
        <v>17</v>
      </c>
      <c r="D27" s="11" t="s">
        <v>46</v>
      </c>
      <c r="E27" s="10" t="s">
        <v>184</v>
      </c>
      <c r="F27" s="10" t="s">
        <v>185</v>
      </c>
      <c r="G27" s="10"/>
      <c r="H27" s="10" t="s">
        <v>106</v>
      </c>
      <c r="I27" s="12" t="s">
        <v>186</v>
      </c>
      <c r="J27" s="12"/>
      <c r="K27" s="11" t="s">
        <v>187</v>
      </c>
      <c r="L27" s="10"/>
      <c r="M27" s="10" t="s">
        <v>188</v>
      </c>
      <c r="N27" s="10" t="s">
        <v>189</v>
      </c>
      <c r="O27" s="10"/>
      <c r="P27" s="10"/>
      <c r="Q27"/>
    </row>
    <row r="28" spans="1:17" ht="69" customHeight="1">
      <c r="A28" s="4">
        <f t="shared" si="0"/>
        <v>27</v>
      </c>
      <c r="B28" s="7" t="s">
        <v>190</v>
      </c>
      <c r="C28" s="6" t="s">
        <v>46</v>
      </c>
      <c r="D28" s="6" t="s">
        <v>46</v>
      </c>
      <c r="E28" s="5" t="s">
        <v>191</v>
      </c>
      <c r="F28" s="5" t="s">
        <v>192</v>
      </c>
      <c r="G28" s="5"/>
      <c r="H28" s="5" t="s">
        <v>193</v>
      </c>
      <c r="I28" s="8" t="s">
        <v>194</v>
      </c>
      <c r="J28" s="8" t="s">
        <v>34</v>
      </c>
      <c r="K28" s="6" t="s">
        <v>87</v>
      </c>
      <c r="L28" s="5"/>
      <c r="M28" s="5" t="s">
        <v>195</v>
      </c>
      <c r="N28" s="7" t="s">
        <v>196</v>
      </c>
      <c r="O28" s="7"/>
      <c r="P28" s="7"/>
      <c r="Q28"/>
    </row>
    <row r="29" spans="1:17" ht="80.25" customHeight="1">
      <c r="A29" s="9">
        <f t="shared" si="0"/>
        <v>28</v>
      </c>
      <c r="B29" s="10" t="s">
        <v>197</v>
      </c>
      <c r="C29" s="11" t="s">
        <v>46</v>
      </c>
      <c r="D29" s="11" t="s">
        <v>46</v>
      </c>
      <c r="E29" s="10" t="s">
        <v>198</v>
      </c>
      <c r="F29" s="10" t="s">
        <v>199</v>
      </c>
      <c r="G29" s="10"/>
      <c r="H29" s="10" t="s">
        <v>200</v>
      </c>
      <c r="I29" s="12" t="s">
        <v>201</v>
      </c>
      <c r="J29" s="44" t="s">
        <v>24</v>
      </c>
      <c r="K29" s="11" t="s">
        <v>87</v>
      </c>
      <c r="L29" s="10"/>
      <c r="M29" s="10" t="s">
        <v>202</v>
      </c>
      <c r="N29" s="10" t="s">
        <v>203</v>
      </c>
      <c r="O29" s="10"/>
      <c r="P29" s="10"/>
      <c r="Q29"/>
    </row>
    <row r="30" spans="1:17" ht="129.75" customHeight="1">
      <c r="A30" s="4">
        <f t="shared" si="0"/>
        <v>29</v>
      </c>
      <c r="B30" s="7" t="s">
        <v>204</v>
      </c>
      <c r="C30" s="6" t="s">
        <v>17</v>
      </c>
      <c r="D30" s="6" t="s">
        <v>46</v>
      </c>
      <c r="E30" s="5" t="s">
        <v>205</v>
      </c>
      <c r="F30" s="7" t="s">
        <v>206</v>
      </c>
      <c r="G30" s="7"/>
      <c r="H30" s="5" t="s">
        <v>207</v>
      </c>
      <c r="I30" s="8" t="s">
        <v>201</v>
      </c>
      <c r="J30" s="8" t="s">
        <v>180</v>
      </c>
      <c r="K30" s="6" t="s">
        <v>208</v>
      </c>
      <c r="L30" s="5"/>
      <c r="M30" s="5" t="s">
        <v>209</v>
      </c>
      <c r="N30" s="64" t="s">
        <v>210</v>
      </c>
      <c r="O30" s="7"/>
      <c r="P30" s="7"/>
      <c r="Q30"/>
    </row>
    <row r="31" spans="1:17" ht="39" customHeight="1">
      <c r="A31" s="9">
        <f t="shared" si="0"/>
        <v>30</v>
      </c>
      <c r="B31" s="13" t="s">
        <v>211</v>
      </c>
      <c r="C31" s="11" t="s">
        <v>17</v>
      </c>
      <c r="D31" s="11" t="s">
        <v>18</v>
      </c>
      <c r="E31" s="13" t="s">
        <v>212</v>
      </c>
      <c r="F31" s="13" t="s">
        <v>213</v>
      </c>
      <c r="G31" s="13"/>
      <c r="H31" s="13" t="s">
        <v>58</v>
      </c>
      <c r="I31" s="12" t="s">
        <v>214</v>
      </c>
      <c r="J31" s="12" t="s">
        <v>71</v>
      </c>
      <c r="K31" s="11" t="s">
        <v>25</v>
      </c>
      <c r="L31" s="13"/>
      <c r="M31" s="13" t="s">
        <v>215</v>
      </c>
      <c r="N31" s="13" t="s">
        <v>216</v>
      </c>
      <c r="O31" s="13"/>
      <c r="P31" s="13"/>
      <c r="Q31"/>
    </row>
    <row r="32" spans="1:17" ht="97.5" customHeight="1">
      <c r="A32" s="4">
        <f t="shared" si="0"/>
        <v>31</v>
      </c>
      <c r="B32" s="5" t="s">
        <v>217</v>
      </c>
      <c r="C32" s="6" t="s">
        <v>46</v>
      </c>
      <c r="D32" s="6" t="s">
        <v>46</v>
      </c>
      <c r="E32" s="5" t="s">
        <v>218</v>
      </c>
      <c r="F32" s="5" t="s">
        <v>219</v>
      </c>
      <c r="G32" s="5"/>
      <c r="H32" s="5" t="s">
        <v>220</v>
      </c>
      <c r="I32" s="45" t="s">
        <v>152</v>
      </c>
      <c r="J32" s="8" t="s">
        <v>221</v>
      </c>
      <c r="K32" s="6" t="s">
        <v>87</v>
      </c>
      <c r="L32" s="5"/>
      <c r="M32" s="5" t="s">
        <v>222</v>
      </c>
      <c r="N32" s="7"/>
      <c r="O32" s="7"/>
      <c r="P32" s="7"/>
      <c r="Q32"/>
    </row>
    <row r="33" spans="1:17" ht="27.75" customHeight="1">
      <c r="A33" s="9">
        <f t="shared" si="0"/>
        <v>32</v>
      </c>
      <c r="B33" s="13" t="s">
        <v>223</v>
      </c>
      <c r="C33" s="11" t="s">
        <v>18</v>
      </c>
      <c r="D33" s="11" t="s">
        <v>18</v>
      </c>
      <c r="E33" s="13"/>
      <c r="F33" s="13"/>
      <c r="G33" s="13"/>
      <c r="H33" s="13" t="s">
        <v>159</v>
      </c>
      <c r="I33" s="12" t="s">
        <v>224</v>
      </c>
      <c r="J33" s="12" t="s">
        <v>34</v>
      </c>
      <c r="K33" s="11" t="s">
        <v>129</v>
      </c>
      <c r="L33" s="13"/>
      <c r="M33" s="13"/>
      <c r="N33" s="13" t="s">
        <v>225</v>
      </c>
      <c r="O33" s="13"/>
      <c r="P33" s="13"/>
      <c r="Q33"/>
    </row>
    <row r="34" spans="1:17" ht="93.75" customHeight="1">
      <c r="A34" s="4">
        <f t="shared" si="0"/>
        <v>33</v>
      </c>
      <c r="B34" s="7" t="s">
        <v>226</v>
      </c>
      <c r="C34" s="6" t="s">
        <v>46</v>
      </c>
      <c r="D34" s="6" t="s">
        <v>46</v>
      </c>
      <c r="E34" s="5" t="s">
        <v>227</v>
      </c>
      <c r="F34" s="7" t="s">
        <v>228</v>
      </c>
      <c r="G34" s="7"/>
      <c r="H34" s="7" t="s">
        <v>229</v>
      </c>
      <c r="I34" s="8" t="s">
        <v>230</v>
      </c>
      <c r="J34" s="45" t="s">
        <v>221</v>
      </c>
      <c r="K34" s="6" t="s">
        <v>208</v>
      </c>
      <c r="L34" s="68" t="s">
        <v>231</v>
      </c>
      <c r="M34" s="5" t="s">
        <v>232</v>
      </c>
      <c r="N34" s="5" t="s">
        <v>233</v>
      </c>
      <c r="O34" s="5"/>
      <c r="P34" s="5"/>
      <c r="Q34"/>
    </row>
    <row r="35" spans="1:17" ht="39.75" customHeight="1">
      <c r="A35" s="9">
        <f t="shared" si="0"/>
        <v>34</v>
      </c>
      <c r="B35" s="10" t="s">
        <v>234</v>
      </c>
      <c r="C35" s="11" t="s">
        <v>46</v>
      </c>
      <c r="D35" s="11" t="s">
        <v>46</v>
      </c>
      <c r="E35" s="10" t="s">
        <v>235</v>
      </c>
      <c r="F35" s="13"/>
      <c r="G35" s="13"/>
      <c r="H35" s="10" t="s">
        <v>236</v>
      </c>
      <c r="I35" s="12" t="s">
        <v>33</v>
      </c>
      <c r="J35" s="12" t="s">
        <v>34</v>
      </c>
      <c r="K35" s="11" t="s">
        <v>87</v>
      </c>
      <c r="L35" s="13"/>
      <c r="M35" s="13"/>
      <c r="N35" s="13"/>
      <c r="O35" s="13"/>
      <c r="P35" s="13"/>
      <c r="Q35"/>
    </row>
    <row r="36" spans="1:17" ht="54.75" customHeight="1">
      <c r="A36" s="4">
        <f t="shared" si="0"/>
        <v>35</v>
      </c>
      <c r="B36" s="5" t="s">
        <v>237</v>
      </c>
      <c r="C36" s="6" t="s">
        <v>18</v>
      </c>
      <c r="D36" s="6" t="s">
        <v>18</v>
      </c>
      <c r="E36" s="5" t="s">
        <v>238</v>
      </c>
      <c r="F36" s="5" t="s">
        <v>239</v>
      </c>
      <c r="G36" s="5"/>
      <c r="H36" s="5" t="s">
        <v>240</v>
      </c>
      <c r="I36" s="8" t="s">
        <v>135</v>
      </c>
      <c r="J36" s="8"/>
      <c r="K36" s="6" t="s">
        <v>87</v>
      </c>
      <c r="L36" s="7"/>
      <c r="M36" s="7"/>
      <c r="N36" s="5" t="s">
        <v>241</v>
      </c>
      <c r="O36" s="5"/>
      <c r="P36" s="5"/>
      <c r="Q36"/>
    </row>
    <row r="37" spans="1:17" ht="138" customHeight="1">
      <c r="A37" s="9">
        <f t="shared" si="0"/>
        <v>36</v>
      </c>
      <c r="B37" s="10" t="s">
        <v>242</v>
      </c>
      <c r="C37" s="11" t="s">
        <v>17</v>
      </c>
      <c r="D37" s="11" t="s">
        <v>46</v>
      </c>
      <c r="E37" s="10" t="s">
        <v>243</v>
      </c>
      <c r="F37" s="10" t="s">
        <v>244</v>
      </c>
      <c r="G37" s="10"/>
      <c r="H37" s="10" t="s">
        <v>245</v>
      </c>
      <c r="I37" s="12" t="s">
        <v>34</v>
      </c>
      <c r="J37" s="12" t="s">
        <v>34</v>
      </c>
      <c r="K37" s="11" t="s">
        <v>87</v>
      </c>
      <c r="L37" s="10"/>
      <c r="M37" s="10" t="s">
        <v>246</v>
      </c>
      <c r="N37" s="13" t="s">
        <v>247</v>
      </c>
      <c r="O37" s="13"/>
      <c r="P37" s="13"/>
      <c r="Q37"/>
    </row>
    <row r="38" spans="1:17" ht="93" customHeight="1">
      <c r="A38" s="9">
        <f t="shared" si="0"/>
        <v>37</v>
      </c>
      <c r="B38" s="5" t="s">
        <v>248</v>
      </c>
      <c r="C38" s="6" t="s">
        <v>17</v>
      </c>
      <c r="D38" s="6" t="s">
        <v>17</v>
      </c>
      <c r="E38" s="5" t="s">
        <v>249</v>
      </c>
      <c r="F38" s="5" t="s">
        <v>250</v>
      </c>
      <c r="G38" s="5"/>
      <c r="H38" s="5" t="s">
        <v>245</v>
      </c>
      <c r="I38" s="8"/>
      <c r="J38" s="45"/>
      <c r="K38" s="6" t="s">
        <v>87</v>
      </c>
      <c r="L38" s="5"/>
      <c r="M38" s="5"/>
      <c r="N38" s="7"/>
      <c r="O38" s="7"/>
      <c r="P38" s="7"/>
      <c r="Q38"/>
    </row>
    <row r="39" spans="1:17" ht="93" customHeight="1">
      <c r="A39" s="9">
        <f t="shared" si="0"/>
        <v>38</v>
      </c>
      <c r="B39" s="57" t="s">
        <v>251</v>
      </c>
      <c r="C39" s="58" t="s">
        <v>18</v>
      </c>
      <c r="D39" s="58" t="s">
        <v>18</v>
      </c>
      <c r="E39" s="57" t="s">
        <v>252</v>
      </c>
      <c r="F39" s="57" t="s">
        <v>253</v>
      </c>
      <c r="G39" s="57"/>
      <c r="H39" s="57" t="s">
        <v>254</v>
      </c>
      <c r="I39" s="59"/>
      <c r="J39" s="60"/>
      <c r="K39" s="58" t="s">
        <v>87</v>
      </c>
      <c r="L39" s="57"/>
      <c r="M39" s="62"/>
      <c r="N39" s="61"/>
      <c r="O39" s="61"/>
      <c r="P39" s="61"/>
      <c r="Q39"/>
    </row>
    <row r="40" spans="1:17" ht="93" customHeight="1">
      <c r="A40" s="9">
        <f t="shared" si="0"/>
        <v>39</v>
      </c>
      <c r="B40" s="5" t="s">
        <v>255</v>
      </c>
      <c r="C40" s="6" t="s">
        <v>17</v>
      </c>
      <c r="D40" s="6" t="s">
        <v>46</v>
      </c>
      <c r="E40" s="5" t="s">
        <v>252</v>
      </c>
      <c r="F40" s="5" t="s">
        <v>256</v>
      </c>
      <c r="G40" s="5"/>
      <c r="H40" s="5" t="s">
        <v>245</v>
      </c>
      <c r="I40" s="8" t="s">
        <v>94</v>
      </c>
      <c r="J40" s="45" t="s">
        <v>153</v>
      </c>
      <c r="K40" s="6" t="s">
        <v>208</v>
      </c>
      <c r="L40" s="5" t="s">
        <v>257</v>
      </c>
      <c r="M40" s="63" t="s">
        <v>258</v>
      </c>
      <c r="N40" s="7" t="s">
        <v>259</v>
      </c>
      <c r="O40" s="7"/>
      <c r="P40" s="7"/>
      <c r="Q40"/>
    </row>
    <row r="41" spans="1:17" ht="174.75" customHeight="1">
      <c r="A41" s="9">
        <f t="shared" si="0"/>
        <v>40</v>
      </c>
      <c r="B41" s="57" t="s">
        <v>260</v>
      </c>
      <c r="C41" s="58" t="s">
        <v>17</v>
      </c>
      <c r="D41" s="58" t="s">
        <v>17</v>
      </c>
      <c r="E41" s="57"/>
      <c r="F41" s="57" t="s">
        <v>261</v>
      </c>
      <c r="G41" s="57"/>
      <c r="H41" s="57" t="s">
        <v>262</v>
      </c>
      <c r="I41" s="59"/>
      <c r="J41" s="60"/>
      <c r="K41" s="58" t="s">
        <v>87</v>
      </c>
      <c r="L41" s="57"/>
      <c r="M41" s="62" t="s">
        <v>263</v>
      </c>
      <c r="N41" s="61"/>
      <c r="O41" s="61"/>
      <c r="P41" s="61"/>
      <c r="Q41"/>
    </row>
    <row r="42" spans="1:17" ht="33" customHeight="1">
      <c r="A42" s="9">
        <f t="shared" si="0"/>
        <v>41</v>
      </c>
      <c r="B42" s="5" t="s">
        <v>264</v>
      </c>
      <c r="C42" s="6" t="s">
        <v>17</v>
      </c>
      <c r="D42" s="6" t="s">
        <v>46</v>
      </c>
      <c r="E42" s="5" t="s">
        <v>265</v>
      </c>
      <c r="F42" s="5"/>
      <c r="G42" s="5"/>
      <c r="H42" s="5"/>
      <c r="I42" s="8"/>
      <c r="J42" s="45"/>
      <c r="K42" s="6" t="s">
        <v>87</v>
      </c>
      <c r="L42" s="5"/>
      <c r="M42" s="63"/>
      <c r="N42" s="7"/>
      <c r="O42" s="7"/>
      <c r="P42" s="7"/>
      <c r="Q42"/>
    </row>
    <row r="43" spans="1:17" ht="18" customHeight="1">
      <c r="A43" s="14" t="s">
        <v>266</v>
      </c>
      <c r="B43" s="15"/>
      <c r="C43" s="15"/>
      <c r="D43" s="15"/>
      <c r="E43" s="15"/>
      <c r="F43" s="15"/>
      <c r="G43" s="15"/>
      <c r="H43" s="15"/>
      <c r="I43" s="15"/>
      <c r="J43" s="15"/>
      <c r="K43" s="15"/>
      <c r="L43" s="15"/>
      <c r="M43" s="15"/>
      <c r="N43" s="15"/>
      <c r="O43" s="15"/>
      <c r="P43" s="15"/>
      <c r="Q43"/>
    </row>
    <row r="44" spans="1:17" ht="27.75" customHeight="1">
      <c r="A44" s="4">
        <f>ROW()-2</f>
        <v>42</v>
      </c>
      <c r="B44" s="5" t="s">
        <v>267</v>
      </c>
      <c r="C44" s="6" t="s">
        <v>18</v>
      </c>
      <c r="D44" s="6" t="s">
        <v>18</v>
      </c>
      <c r="E44" s="7" t="s">
        <v>268</v>
      </c>
      <c r="F44" s="7"/>
      <c r="G44" s="7"/>
      <c r="H44" s="7"/>
      <c r="I44" s="45" t="s">
        <v>269</v>
      </c>
      <c r="J44" s="45" t="s">
        <v>269</v>
      </c>
      <c r="K44" s="6" t="s">
        <v>25</v>
      </c>
      <c r="L44" s="7"/>
      <c r="M44" s="7"/>
      <c r="N44" s="7" t="s">
        <v>270</v>
      </c>
      <c r="O44" s="7"/>
      <c r="P44" s="7"/>
      <c r="Q44"/>
    </row>
    <row r="45" spans="1:17" ht="60.75" customHeight="1">
      <c r="A45" s="9">
        <f t="shared" ref="A45:A48" si="1">ROW()-2</f>
        <v>43</v>
      </c>
      <c r="B45" s="13" t="s">
        <v>271</v>
      </c>
      <c r="C45" s="11" t="s">
        <v>18</v>
      </c>
      <c r="D45" s="11" t="s">
        <v>46</v>
      </c>
      <c r="E45" s="13" t="s">
        <v>272</v>
      </c>
      <c r="F45" s="13" t="s">
        <v>273</v>
      </c>
      <c r="G45" s="13"/>
      <c r="H45" s="13" t="s">
        <v>274</v>
      </c>
      <c r="I45" s="44" t="s">
        <v>269</v>
      </c>
      <c r="J45" s="44" t="s">
        <v>269</v>
      </c>
      <c r="K45" s="11" t="s">
        <v>25</v>
      </c>
      <c r="L45" s="10"/>
      <c r="M45" s="10" t="s">
        <v>275</v>
      </c>
      <c r="N45" s="13"/>
      <c r="O45" s="13"/>
      <c r="P45" s="13"/>
      <c r="Q45"/>
    </row>
    <row r="46" spans="1:17" ht="136.5" customHeight="1">
      <c r="A46" s="4">
        <f t="shared" si="1"/>
        <v>44</v>
      </c>
      <c r="B46" s="5" t="s">
        <v>276</v>
      </c>
      <c r="C46" s="6" t="s">
        <v>46</v>
      </c>
      <c r="D46" s="6" t="s">
        <v>46</v>
      </c>
      <c r="E46" s="5" t="s">
        <v>277</v>
      </c>
      <c r="F46" s="7"/>
      <c r="G46" s="7"/>
      <c r="H46" s="7"/>
      <c r="I46" s="45" t="s">
        <v>269</v>
      </c>
      <c r="J46" s="45" t="s">
        <v>269</v>
      </c>
      <c r="K46" s="6" t="s">
        <v>187</v>
      </c>
      <c r="L46" s="5"/>
      <c r="M46" s="5" t="s">
        <v>278</v>
      </c>
      <c r="N46" s="7"/>
      <c r="O46" s="7"/>
      <c r="P46" s="7"/>
      <c r="Q46"/>
    </row>
    <row r="47" spans="1:17" ht="60">
      <c r="A47" s="9">
        <f t="shared" si="1"/>
        <v>45</v>
      </c>
      <c r="B47" s="10" t="s">
        <v>279</v>
      </c>
      <c r="C47" s="11" t="s">
        <v>46</v>
      </c>
      <c r="D47" s="11" t="s">
        <v>46</v>
      </c>
      <c r="E47" s="10" t="s">
        <v>280</v>
      </c>
      <c r="F47" s="10" t="s">
        <v>281</v>
      </c>
      <c r="G47" s="10"/>
      <c r="H47" s="10" t="s">
        <v>282</v>
      </c>
      <c r="I47" s="44" t="s">
        <v>283</v>
      </c>
      <c r="J47" s="44" t="s">
        <v>283</v>
      </c>
      <c r="K47" s="11" t="s">
        <v>87</v>
      </c>
      <c r="L47" s="10"/>
      <c r="M47" s="10" t="s">
        <v>284</v>
      </c>
      <c r="N47" s="13"/>
      <c r="O47" s="13"/>
      <c r="P47" s="13"/>
      <c r="Q47"/>
    </row>
    <row r="48" spans="1:17" ht="51.75" customHeight="1">
      <c r="A48" s="4">
        <f t="shared" si="1"/>
        <v>46</v>
      </c>
      <c r="B48" s="5" t="s">
        <v>285</v>
      </c>
      <c r="C48" s="6" t="s">
        <v>18</v>
      </c>
      <c r="D48" s="6" t="s">
        <v>18</v>
      </c>
      <c r="E48" s="5" t="s">
        <v>286</v>
      </c>
      <c r="F48" s="5" t="s">
        <v>287</v>
      </c>
      <c r="G48" s="5"/>
      <c r="H48" s="5" t="s">
        <v>288</v>
      </c>
      <c r="I48" s="8" t="s">
        <v>41</v>
      </c>
      <c r="J48" s="8" t="s">
        <v>41</v>
      </c>
      <c r="K48" s="6" t="s">
        <v>187</v>
      </c>
      <c r="L48" s="5"/>
      <c r="M48" s="5" t="s">
        <v>289</v>
      </c>
      <c r="N48" s="7"/>
      <c r="O48" s="7"/>
      <c r="P48" s="7"/>
      <c r="Q48"/>
    </row>
    <row r="49" spans="1:17" ht="15" customHeight="1">
      <c r="Q49"/>
    </row>
    <row r="50" spans="1:17" ht="15" customHeight="1">
      <c r="Q50"/>
    </row>
    <row r="51" spans="1:17" ht="15" customHeight="1">
      <c r="Q51"/>
    </row>
    <row r="52" spans="1:17" ht="20.25">
      <c r="A52" s="16" t="s">
        <v>290</v>
      </c>
    </row>
    <row r="53" spans="1:17" ht="15" customHeight="1">
      <c r="B53" s="17" t="s">
        <v>291</v>
      </c>
    </row>
    <row r="55" spans="1:17" ht="15" customHeight="1">
      <c r="B55" s="18" t="s">
        <v>292</v>
      </c>
      <c r="C55" s="18" t="s">
        <v>293</v>
      </c>
      <c r="D55" s="18" t="s">
        <v>25</v>
      </c>
      <c r="E55" s="18" t="s">
        <v>129</v>
      </c>
      <c r="F55" s="18" t="s">
        <v>208</v>
      </c>
      <c r="G55" s="18"/>
      <c r="H55" s="18" t="s">
        <v>87</v>
      </c>
      <c r="I55" s="18" t="s">
        <v>187</v>
      </c>
      <c r="J55" s="18" t="s">
        <v>187</v>
      </c>
      <c r="K55" s="18" t="s">
        <v>294</v>
      </c>
      <c r="L55" s="18" t="s">
        <v>295</v>
      </c>
    </row>
    <row r="56" spans="1:17" ht="15" customHeight="1">
      <c r="B56" s="19" t="s">
        <v>296</v>
      </c>
      <c r="C56" s="19">
        <f>COUNTIF(CX進捗0403!$I:$I,"*鈴木佑*")</f>
        <v>5</v>
      </c>
      <c r="D56" s="20">
        <f t="shared" ref="D56:F61" si="2">COUNTIFS($I$1:$I$50,"*"&amp;$B56&amp;"*",$K$1:$K$50,D$55)</f>
        <v>1</v>
      </c>
      <c r="E56" s="21">
        <f t="shared" si="2"/>
        <v>1</v>
      </c>
      <c r="F56" s="22">
        <f t="shared" si="2"/>
        <v>1</v>
      </c>
      <c r="G56" s="22"/>
      <c r="H56" s="23">
        <f t="shared" ref="H56:L61" si="3">COUNTIFS($I$1:$I$50,"*"&amp;$B56&amp;"*",$K$1:$K$50,H$55)</f>
        <v>1</v>
      </c>
      <c r="I56" s="24">
        <f t="shared" si="3"/>
        <v>1</v>
      </c>
      <c r="J56" s="24">
        <f t="shared" si="3"/>
        <v>1</v>
      </c>
      <c r="K56" s="25">
        <f t="shared" si="3"/>
        <v>0</v>
      </c>
      <c r="L56" s="26">
        <f t="shared" si="3"/>
        <v>0</v>
      </c>
    </row>
    <row r="57" spans="1:17" ht="15" customHeight="1">
      <c r="B57" s="27" t="s">
        <v>180</v>
      </c>
      <c r="C57" s="27">
        <f>COUNTIF(CX進捗0403!$I:$I,"*齋藤*")</f>
        <v>8</v>
      </c>
      <c r="D57" s="20">
        <f t="shared" si="2"/>
        <v>4</v>
      </c>
      <c r="E57" s="21">
        <f t="shared" si="2"/>
        <v>0</v>
      </c>
      <c r="F57" s="22">
        <f t="shared" si="2"/>
        <v>1</v>
      </c>
      <c r="G57" s="22"/>
      <c r="H57" s="23">
        <f t="shared" si="3"/>
        <v>2</v>
      </c>
      <c r="I57" s="24">
        <f t="shared" si="3"/>
        <v>1</v>
      </c>
      <c r="J57" s="24">
        <f t="shared" si="3"/>
        <v>1</v>
      </c>
      <c r="K57" s="25">
        <f t="shared" si="3"/>
        <v>0</v>
      </c>
      <c r="L57" s="26">
        <f t="shared" si="3"/>
        <v>0</v>
      </c>
    </row>
    <row r="58" spans="1:17" ht="15" customHeight="1">
      <c r="B58" s="19" t="s">
        <v>41</v>
      </c>
      <c r="C58" s="19">
        <f>COUNTIF(CX進捗0403!$I:$I,"*鈴木孝*")</f>
        <v>15</v>
      </c>
      <c r="D58" s="20">
        <f t="shared" si="2"/>
        <v>10</v>
      </c>
      <c r="E58" s="21">
        <f t="shared" si="2"/>
        <v>0</v>
      </c>
      <c r="F58" s="22">
        <f t="shared" si="2"/>
        <v>2</v>
      </c>
      <c r="G58" s="22"/>
      <c r="H58" s="23">
        <f t="shared" si="3"/>
        <v>2</v>
      </c>
      <c r="I58" s="24">
        <f t="shared" si="3"/>
        <v>1</v>
      </c>
      <c r="J58" s="24">
        <f t="shared" si="3"/>
        <v>1</v>
      </c>
      <c r="K58" s="25">
        <f t="shared" si="3"/>
        <v>0</v>
      </c>
      <c r="L58" s="26">
        <f t="shared" si="3"/>
        <v>0</v>
      </c>
    </row>
    <row r="59" spans="1:17" ht="15" customHeight="1">
      <c r="B59" s="27" t="s">
        <v>34</v>
      </c>
      <c r="C59" s="27">
        <f>COUNTIF(CX進捗0403!$I:$I,"*横井*")</f>
        <v>18</v>
      </c>
      <c r="D59" s="20">
        <f t="shared" si="2"/>
        <v>8</v>
      </c>
      <c r="E59" s="21">
        <f t="shared" si="2"/>
        <v>1</v>
      </c>
      <c r="F59" s="22">
        <f t="shared" si="2"/>
        <v>1</v>
      </c>
      <c r="G59" s="22"/>
      <c r="H59" s="23">
        <f t="shared" si="3"/>
        <v>7</v>
      </c>
      <c r="I59" s="24">
        <f t="shared" si="3"/>
        <v>1</v>
      </c>
      <c r="J59" s="24">
        <f t="shared" si="3"/>
        <v>1</v>
      </c>
      <c r="K59" s="25">
        <f t="shared" si="3"/>
        <v>0</v>
      </c>
      <c r="L59" s="26">
        <f t="shared" si="3"/>
        <v>0</v>
      </c>
    </row>
    <row r="60" spans="1:17" ht="15" customHeight="1">
      <c r="B60" s="19" t="s">
        <v>297</v>
      </c>
      <c r="C60" s="19">
        <f>COUNTIF(CX進捗0403!$I:$I,"*足立*")</f>
        <v>13</v>
      </c>
      <c r="D60" s="20">
        <f t="shared" si="2"/>
        <v>7</v>
      </c>
      <c r="E60" s="21">
        <f t="shared" si="2"/>
        <v>0</v>
      </c>
      <c r="F60" s="22">
        <f t="shared" si="2"/>
        <v>1</v>
      </c>
      <c r="G60" s="22"/>
      <c r="H60" s="23">
        <f t="shared" si="3"/>
        <v>5</v>
      </c>
      <c r="I60" s="24">
        <f t="shared" si="3"/>
        <v>0</v>
      </c>
      <c r="J60" s="24">
        <f t="shared" si="3"/>
        <v>0</v>
      </c>
      <c r="K60" s="25">
        <f t="shared" si="3"/>
        <v>0</v>
      </c>
      <c r="L60" s="26">
        <f t="shared" si="3"/>
        <v>0</v>
      </c>
    </row>
    <row r="61" spans="1:17" ht="15" customHeight="1">
      <c r="B61" s="27" t="s">
        <v>71</v>
      </c>
      <c r="C61" s="27">
        <f>COUNTIF(CX進捗0403!$I:$I,"*石川*")</f>
        <v>12</v>
      </c>
      <c r="D61" s="20">
        <f t="shared" si="2"/>
        <v>6</v>
      </c>
      <c r="E61" s="21">
        <f t="shared" si="2"/>
        <v>1</v>
      </c>
      <c r="F61" s="22">
        <f t="shared" si="2"/>
        <v>0</v>
      </c>
      <c r="G61" s="22"/>
      <c r="H61" s="23">
        <f t="shared" si="3"/>
        <v>5</v>
      </c>
      <c r="I61" s="24">
        <f t="shared" si="3"/>
        <v>0</v>
      </c>
      <c r="J61" s="24">
        <f t="shared" si="3"/>
        <v>0</v>
      </c>
      <c r="K61" s="25">
        <f t="shared" si="3"/>
        <v>0</v>
      </c>
      <c r="L61" s="26">
        <f t="shared" si="3"/>
        <v>0</v>
      </c>
    </row>
    <row r="62" spans="1:17" ht="15" customHeight="1">
      <c r="B62" s="18" t="s">
        <v>298</v>
      </c>
      <c r="C62" s="18">
        <f t="shared" ref="C62:L62" si="4">SUM(C56:C61)</f>
        <v>71</v>
      </c>
      <c r="D62" s="18">
        <f t="shared" si="4"/>
        <v>36</v>
      </c>
      <c r="E62" s="18">
        <f t="shared" si="4"/>
        <v>3</v>
      </c>
      <c r="F62" s="18">
        <f t="shared" si="4"/>
        <v>6</v>
      </c>
      <c r="G62" s="18"/>
      <c r="H62" s="18">
        <f>SUM(H56:H61)</f>
        <v>22</v>
      </c>
      <c r="I62" s="18">
        <f>SUM(I56:I61)</f>
        <v>4</v>
      </c>
      <c r="J62" s="18">
        <f t="shared" ref="J62" si="5">SUM(J56:J61)</f>
        <v>4</v>
      </c>
      <c r="K62" s="18">
        <f t="shared" si="4"/>
        <v>0</v>
      </c>
      <c r="L62" s="18">
        <f t="shared" si="4"/>
        <v>0</v>
      </c>
    </row>
    <row r="65" spans="2:4" ht="15" customHeight="1">
      <c r="B65" s="28" t="s">
        <v>299</v>
      </c>
      <c r="D65" s="28" t="s">
        <v>300</v>
      </c>
    </row>
    <row r="66" spans="2:4" ht="15" customHeight="1">
      <c r="B66" s="29" t="s">
        <v>25</v>
      </c>
      <c r="D66" s="30" t="s">
        <v>17</v>
      </c>
    </row>
    <row r="67" spans="2:4" ht="15" customHeight="1">
      <c r="B67" s="31" t="s">
        <v>295</v>
      </c>
      <c r="D67" s="32" t="s">
        <v>18</v>
      </c>
    </row>
    <row r="68" spans="2:4" ht="15" customHeight="1">
      <c r="B68" s="33" t="s">
        <v>294</v>
      </c>
      <c r="D68" s="34" t="s">
        <v>46</v>
      </c>
    </row>
    <row r="69" spans="2:4" ht="15" customHeight="1">
      <c r="B69" s="35" t="s">
        <v>87</v>
      </c>
    </row>
    <row r="70" spans="2:4" ht="15" customHeight="1">
      <c r="B70" s="36" t="s">
        <v>187</v>
      </c>
    </row>
    <row r="71" spans="2:4" ht="15" customHeight="1">
      <c r="B71" s="37" t="s">
        <v>129</v>
      </c>
    </row>
    <row r="72" spans="2:4" ht="15" customHeight="1">
      <c r="B72" s="38" t="s">
        <v>208</v>
      </c>
    </row>
  </sheetData>
  <autoFilter ref="A1:O48" xr:uid="{00000000-0009-0000-0000-000000000000}"/>
  <phoneticPr fontId="15"/>
  <conditionalFormatting sqref="C2:C48">
    <cfRule type="expression" dxfId="51" priority="8">
      <formula>$C2="高"</formula>
    </cfRule>
    <cfRule type="expression" dxfId="50" priority="9">
      <formula>$C2="中"</formula>
    </cfRule>
    <cfRule type="expression" dxfId="49" priority="10">
      <formula>$C2="低"</formula>
    </cfRule>
  </conditionalFormatting>
  <conditionalFormatting sqref="D2:D48">
    <cfRule type="expression" dxfId="48" priority="11">
      <formula>$D2="高"</formula>
    </cfRule>
    <cfRule type="expression" dxfId="47" priority="12">
      <formula>$D2="中"</formula>
    </cfRule>
    <cfRule type="expression" dxfId="46" priority="13">
      <formula>$D2="低"</formula>
    </cfRule>
  </conditionalFormatting>
  <conditionalFormatting sqref="K2:K48">
    <cfRule type="expression" dxfId="45" priority="1">
      <formula>$K2="進行中"</formula>
    </cfRule>
    <cfRule type="expression" dxfId="44" priority="2">
      <formula>$K2="遅延"</formula>
    </cfRule>
    <cfRule type="expression" dxfId="43" priority="3">
      <formula>$K2="完了"</formula>
    </cfRule>
    <cfRule type="expression" dxfId="42" priority="4">
      <formula>$K2="未着手"</formula>
    </cfRule>
    <cfRule type="expression" dxfId="41" priority="5">
      <formula>$K2="停止"</formula>
    </cfRule>
    <cfRule type="expression" dxfId="40" priority="6">
      <formula>$K2="着手"</formula>
    </cfRule>
    <cfRule type="expression" dxfId="39" priority="7">
      <formula>$K2="調査中"</formula>
    </cfRule>
  </conditionalFormatting>
  <dataValidations count="2">
    <dataValidation type="list" allowBlank="1" showErrorMessage="1" errorTitle="入力エラー" error="リストから選択してください" sqref="K2:K48" xr:uid="{D0EA5AED-7FAD-4154-9EC1-FA43F55D3BE0}">
      <formula1>"未着手,進行中,着手,調査中,遅延,停止,完了"</formula1>
      <formula2>0</formula2>
    </dataValidation>
    <dataValidation type="list" allowBlank="1" showErrorMessage="1" errorTitle="入力エラー" error="リストから選択してください" sqref="C2:D48" xr:uid="{AECE3808-F9AC-48A6-B47C-CC0ADF31C869}">
      <formula1>"高,中,低"</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7D9A0-9559-4FEF-AFD4-86E4BE97FF45}">
  <dimension ref="A1:Q71"/>
  <sheetViews>
    <sheetView tabSelected="1" zoomScaleNormal="100" workbookViewId="0">
      <pane ySplit="1" topLeftCell="E2" activePane="bottomLeft" state="frozen"/>
      <selection pane="bottomLeft" activeCell="F3" sqref="F3"/>
    </sheetView>
  </sheetViews>
  <sheetFormatPr defaultColWidth="8.5" defaultRowHeight="15" customHeight="1"/>
  <cols>
    <col min="1" max="1" width="4" style="1" customWidth="1"/>
    <col min="2" max="2" width="26" style="1" customWidth="1"/>
    <col min="3" max="4" width="5" style="1" customWidth="1"/>
    <col min="5" max="5" width="14" style="1" customWidth="1"/>
    <col min="6" max="6" width="38" style="1" customWidth="1"/>
    <col min="7" max="7" width="27.875" style="1" customWidth="1"/>
    <col min="8" max="8" width="14" style="1" customWidth="1"/>
    <col min="9" max="11" width="10" style="1" customWidth="1"/>
    <col min="12" max="12" width="28.875" style="1" customWidth="1"/>
    <col min="13" max="14" width="34" style="1" customWidth="1"/>
    <col min="15" max="17" width="30" style="1" customWidth="1"/>
  </cols>
  <sheetData>
    <row r="1" spans="1:17" ht="33">
      <c r="A1" s="2" t="s">
        <v>0</v>
      </c>
      <c r="B1" s="3" t="s">
        <v>1</v>
      </c>
      <c r="C1" s="3" t="s">
        <v>2</v>
      </c>
      <c r="D1" s="3" t="s">
        <v>3</v>
      </c>
      <c r="E1" s="2" t="s">
        <v>4</v>
      </c>
      <c r="F1" s="2" t="s">
        <v>5</v>
      </c>
      <c r="G1" s="47" t="s">
        <v>6</v>
      </c>
      <c r="H1" s="3" t="s">
        <v>7</v>
      </c>
      <c r="I1" s="2" t="s">
        <v>8</v>
      </c>
      <c r="J1" s="46" t="s">
        <v>9</v>
      </c>
      <c r="K1" s="3" t="s">
        <v>10</v>
      </c>
      <c r="L1" s="39" t="s">
        <v>11</v>
      </c>
      <c r="M1" s="39" t="s">
        <v>12</v>
      </c>
      <c r="N1" s="39" t="s">
        <v>13</v>
      </c>
      <c r="O1" s="39" t="s">
        <v>14</v>
      </c>
      <c r="P1" s="39" t="s">
        <v>15</v>
      </c>
      <c r="Q1"/>
    </row>
    <row r="2" spans="1:17" ht="57.75">
      <c r="A2" s="4">
        <f>ROW()-1</f>
        <v>1</v>
      </c>
      <c r="B2" s="5" t="s">
        <v>16</v>
      </c>
      <c r="C2" s="6" t="s">
        <v>17</v>
      </c>
      <c r="D2" s="6" t="s">
        <v>18</v>
      </c>
      <c r="E2" s="5" t="s">
        <v>19</v>
      </c>
      <c r="F2" s="48" t="s">
        <v>20</v>
      </c>
      <c r="G2" s="5" t="s">
        <v>21</v>
      </c>
      <c r="H2" s="7" t="s">
        <v>22</v>
      </c>
      <c r="I2" s="8" t="s">
        <v>23</v>
      </c>
      <c r="J2" s="45" t="s">
        <v>24</v>
      </c>
      <c r="K2" s="6" t="s">
        <v>25</v>
      </c>
      <c r="L2" s="5" t="s">
        <v>301</v>
      </c>
      <c r="M2" s="51" t="s">
        <v>26</v>
      </c>
      <c r="N2" s="52" t="s">
        <v>27</v>
      </c>
      <c r="O2" s="7"/>
      <c r="P2" s="7"/>
      <c r="Q2"/>
    </row>
    <row r="3" spans="1:17" ht="207.75" customHeight="1">
      <c r="A3" s="9">
        <f t="shared" ref="A3:A41" si="0">ROW()-1</f>
        <v>2</v>
      </c>
      <c r="B3" s="10" t="s">
        <v>28</v>
      </c>
      <c r="C3" s="11" t="s">
        <v>17</v>
      </c>
      <c r="D3" s="11" t="s">
        <v>17</v>
      </c>
      <c r="E3" s="10" t="s">
        <v>29</v>
      </c>
      <c r="F3" s="49" t="s">
        <v>30</v>
      </c>
      <c r="G3" s="41" t="s">
        <v>31</v>
      </c>
      <c r="H3" s="10" t="s">
        <v>32</v>
      </c>
      <c r="I3" s="12" t="s">
        <v>33</v>
      </c>
      <c r="J3" s="12" t="s">
        <v>34</v>
      </c>
      <c r="K3" s="11" t="s">
        <v>25</v>
      </c>
      <c r="L3" s="40" t="s">
        <v>302</v>
      </c>
      <c r="M3" s="40" t="s">
        <v>35</v>
      </c>
      <c r="N3" s="10" t="s">
        <v>36</v>
      </c>
      <c r="O3" s="10"/>
      <c r="P3" s="10"/>
      <c r="Q3"/>
    </row>
    <row r="4" spans="1:17" ht="64.5" customHeight="1">
      <c r="A4" s="4">
        <f t="shared" si="0"/>
        <v>3</v>
      </c>
      <c r="B4" s="5" t="s">
        <v>37</v>
      </c>
      <c r="C4" s="6" t="s">
        <v>17</v>
      </c>
      <c r="D4" s="6" t="s">
        <v>17</v>
      </c>
      <c r="E4" s="7" t="s">
        <v>38</v>
      </c>
      <c r="F4" s="7" t="s">
        <v>39</v>
      </c>
      <c r="G4" s="7"/>
      <c r="H4" s="5" t="s">
        <v>40</v>
      </c>
      <c r="I4" s="8" t="s">
        <v>41</v>
      </c>
      <c r="J4" s="8" t="s">
        <v>41</v>
      </c>
      <c r="K4" s="6" t="s">
        <v>25</v>
      </c>
      <c r="L4" s="5" t="s">
        <v>303</v>
      </c>
      <c r="M4" s="5" t="s">
        <v>43</v>
      </c>
      <c r="N4" s="5" t="s">
        <v>44</v>
      </c>
      <c r="O4" s="5"/>
      <c r="P4" s="5"/>
      <c r="Q4"/>
    </row>
    <row r="5" spans="1:17" ht="120" customHeight="1">
      <c r="A5" s="9">
        <f t="shared" si="0"/>
        <v>4</v>
      </c>
      <c r="B5" s="10" t="s">
        <v>45</v>
      </c>
      <c r="C5" s="11" t="s">
        <v>18</v>
      </c>
      <c r="D5" s="11" t="s">
        <v>46</v>
      </c>
      <c r="E5" s="10" t="s">
        <v>47</v>
      </c>
      <c r="F5" s="41" t="s">
        <v>48</v>
      </c>
      <c r="G5" s="41" t="s">
        <v>49</v>
      </c>
      <c r="H5" s="10" t="s">
        <v>50</v>
      </c>
      <c r="I5" s="56" t="s">
        <v>51</v>
      </c>
      <c r="J5" s="44" t="s">
        <v>52</v>
      </c>
      <c r="K5" s="11" t="s">
        <v>25</v>
      </c>
      <c r="L5" s="41" t="s">
        <v>304</v>
      </c>
      <c r="M5" s="41" t="s">
        <v>53</v>
      </c>
      <c r="N5" s="55" t="s">
        <v>54</v>
      </c>
      <c r="O5" s="13"/>
      <c r="P5" s="13"/>
      <c r="Q5"/>
    </row>
    <row r="6" spans="1:17" ht="63.75" customHeight="1">
      <c r="A6" s="4">
        <f t="shared" si="0"/>
        <v>5</v>
      </c>
      <c r="B6" s="5" t="s">
        <v>55</v>
      </c>
      <c r="C6" s="6" t="s">
        <v>17</v>
      </c>
      <c r="D6" s="6" t="s">
        <v>17</v>
      </c>
      <c r="E6" s="7" t="s">
        <v>56</v>
      </c>
      <c r="F6" s="5" t="s">
        <v>57</v>
      </c>
      <c r="G6" s="5"/>
      <c r="H6" s="7" t="s">
        <v>58</v>
      </c>
      <c r="I6" s="8" t="s">
        <v>59</v>
      </c>
      <c r="J6" s="8" t="s">
        <v>41</v>
      </c>
      <c r="K6" s="6" t="s">
        <v>25</v>
      </c>
      <c r="L6" s="5" t="s">
        <v>305</v>
      </c>
      <c r="M6" s="5" t="s">
        <v>61</v>
      </c>
      <c r="N6" s="7" t="s">
        <v>62</v>
      </c>
      <c r="O6" s="7"/>
      <c r="P6" s="7"/>
      <c r="Q6"/>
    </row>
    <row r="7" spans="1:17" ht="27.75" customHeight="1">
      <c r="A7" s="9">
        <f t="shared" si="0"/>
        <v>6</v>
      </c>
      <c r="B7" s="10" t="s">
        <v>63</v>
      </c>
      <c r="C7" s="11" t="s">
        <v>17</v>
      </c>
      <c r="D7" s="11" t="s">
        <v>17</v>
      </c>
      <c r="E7" s="13" t="s">
        <v>56</v>
      </c>
      <c r="F7" s="10" t="s">
        <v>64</v>
      </c>
      <c r="G7" s="10"/>
      <c r="H7" s="13" t="s">
        <v>58</v>
      </c>
      <c r="I7" s="12" t="s">
        <v>59</v>
      </c>
      <c r="J7" s="12" t="s">
        <v>41</v>
      </c>
      <c r="K7" s="11" t="s">
        <v>25</v>
      </c>
      <c r="L7" s="13" t="s">
        <v>306</v>
      </c>
      <c r="M7" s="53" t="s">
        <v>66</v>
      </c>
      <c r="N7" s="13" t="s">
        <v>62</v>
      </c>
      <c r="O7" s="13"/>
      <c r="P7" s="13"/>
      <c r="Q7"/>
    </row>
    <row r="8" spans="1:17" ht="51.75" customHeight="1">
      <c r="A8" s="4">
        <f t="shared" si="0"/>
        <v>7</v>
      </c>
      <c r="B8" s="5" t="s">
        <v>67</v>
      </c>
      <c r="C8" s="6" t="s">
        <v>17</v>
      </c>
      <c r="D8" s="6" t="s">
        <v>18</v>
      </c>
      <c r="E8" s="5" t="s">
        <v>68</v>
      </c>
      <c r="F8" s="5" t="s">
        <v>69</v>
      </c>
      <c r="G8" s="5"/>
      <c r="H8" s="5" t="s">
        <v>70</v>
      </c>
      <c r="I8" s="8" t="s">
        <v>71</v>
      </c>
      <c r="J8" s="8"/>
      <c r="K8" s="6" t="s">
        <v>25</v>
      </c>
      <c r="L8" s="7"/>
      <c r="M8" s="7" t="s">
        <v>72</v>
      </c>
      <c r="N8" s="7" t="s">
        <v>73</v>
      </c>
      <c r="O8" s="7"/>
      <c r="P8" s="7"/>
      <c r="Q8"/>
    </row>
    <row r="9" spans="1:17" ht="78" customHeight="1">
      <c r="A9" s="9">
        <f t="shared" si="0"/>
        <v>8</v>
      </c>
      <c r="B9" s="10" t="s">
        <v>74</v>
      </c>
      <c r="C9" s="11" t="s">
        <v>18</v>
      </c>
      <c r="D9" s="11" t="s">
        <v>18</v>
      </c>
      <c r="E9" s="13" t="s">
        <v>75</v>
      </c>
      <c r="F9" s="13" t="s">
        <v>76</v>
      </c>
      <c r="G9" s="50" t="s">
        <v>77</v>
      </c>
      <c r="H9" s="13" t="s">
        <v>78</v>
      </c>
      <c r="I9" s="12" t="s">
        <v>79</v>
      </c>
      <c r="J9" s="12"/>
      <c r="K9" s="11" t="s">
        <v>25</v>
      </c>
      <c r="L9" s="10" t="s">
        <v>307</v>
      </c>
      <c r="M9" s="10" t="s">
        <v>80</v>
      </c>
      <c r="N9" s="10" t="s">
        <v>81</v>
      </c>
      <c r="O9" s="10"/>
      <c r="P9" s="10"/>
      <c r="Q9"/>
    </row>
    <row r="10" spans="1:17" ht="39" customHeight="1">
      <c r="A10" s="4">
        <f t="shared" si="0"/>
        <v>9</v>
      </c>
      <c r="B10" s="5" t="s">
        <v>82</v>
      </c>
      <c r="C10" s="6" t="s">
        <v>17</v>
      </c>
      <c r="D10" s="6" t="s">
        <v>46</v>
      </c>
      <c r="E10" s="5" t="s">
        <v>83</v>
      </c>
      <c r="F10" s="5" t="s">
        <v>84</v>
      </c>
      <c r="G10" s="5"/>
      <c r="H10" s="5" t="s">
        <v>85</v>
      </c>
      <c r="I10" s="45" t="s">
        <v>86</v>
      </c>
      <c r="J10" s="8"/>
      <c r="K10" s="6" t="s">
        <v>87</v>
      </c>
      <c r="L10" s="5"/>
      <c r="M10" s="5" t="s">
        <v>88</v>
      </c>
      <c r="N10" s="5" t="s">
        <v>89</v>
      </c>
      <c r="O10" s="5"/>
      <c r="P10" s="5"/>
      <c r="Q10"/>
    </row>
    <row r="11" spans="1:17" ht="60.75" customHeight="1">
      <c r="A11" s="9">
        <f t="shared" si="0"/>
        <v>10</v>
      </c>
      <c r="B11" s="10" t="s">
        <v>90</v>
      </c>
      <c r="C11" s="11" t="s">
        <v>18</v>
      </c>
      <c r="D11" s="11" t="s">
        <v>18</v>
      </c>
      <c r="E11" s="10" t="s">
        <v>91</v>
      </c>
      <c r="F11" s="13" t="s">
        <v>92</v>
      </c>
      <c r="G11" s="13"/>
      <c r="H11" s="10" t="s">
        <v>93</v>
      </c>
      <c r="I11" s="12" t="s">
        <v>94</v>
      </c>
      <c r="J11" s="12"/>
      <c r="K11" s="11" t="s">
        <v>25</v>
      </c>
      <c r="L11" s="10"/>
      <c r="M11" s="10" t="s">
        <v>95</v>
      </c>
      <c r="N11" s="10" t="s">
        <v>96</v>
      </c>
      <c r="O11" s="10"/>
      <c r="P11" s="10"/>
      <c r="Q11"/>
    </row>
    <row r="12" spans="1:17" ht="62.25" customHeight="1">
      <c r="A12" s="4">
        <f t="shared" si="0"/>
        <v>11</v>
      </c>
      <c r="B12" s="5" t="s">
        <v>97</v>
      </c>
      <c r="C12" s="6" t="s">
        <v>18</v>
      </c>
      <c r="D12" s="6" t="s">
        <v>18</v>
      </c>
      <c r="E12" s="5" t="s">
        <v>98</v>
      </c>
      <c r="F12" s="7" t="s">
        <v>99</v>
      </c>
      <c r="G12" s="7"/>
      <c r="H12" s="5" t="s">
        <v>93</v>
      </c>
      <c r="I12" s="8" t="s">
        <v>94</v>
      </c>
      <c r="J12" s="8" t="s">
        <v>41</v>
      </c>
      <c r="K12" s="6" t="s">
        <v>25</v>
      </c>
      <c r="L12" s="5" t="s">
        <v>308</v>
      </c>
      <c r="M12" s="5" t="s">
        <v>101</v>
      </c>
      <c r="N12" s="5" t="s">
        <v>102</v>
      </c>
      <c r="O12" s="5"/>
      <c r="P12" s="5"/>
      <c r="Q12"/>
    </row>
    <row r="13" spans="1:17" ht="87.75" customHeight="1">
      <c r="A13" s="9">
        <f t="shared" si="0"/>
        <v>12</v>
      </c>
      <c r="B13" s="10" t="s">
        <v>103</v>
      </c>
      <c r="C13" s="11" t="s">
        <v>17</v>
      </c>
      <c r="D13" s="11" t="s">
        <v>17</v>
      </c>
      <c r="E13" s="10" t="s">
        <v>104</v>
      </c>
      <c r="F13" s="10" t="s">
        <v>105</v>
      </c>
      <c r="G13" s="10"/>
      <c r="H13" s="10" t="s">
        <v>106</v>
      </c>
      <c r="I13" s="12" t="s">
        <v>71</v>
      </c>
      <c r="J13" s="12" t="s">
        <v>71</v>
      </c>
      <c r="K13" s="11" t="s">
        <v>25</v>
      </c>
      <c r="L13" s="10" t="s">
        <v>309</v>
      </c>
      <c r="M13" s="10" t="s">
        <v>107</v>
      </c>
      <c r="N13" s="10" t="s">
        <v>108</v>
      </c>
      <c r="O13" s="10"/>
      <c r="P13" s="10"/>
      <c r="Q13"/>
    </row>
    <row r="14" spans="1:17" ht="27.75" customHeight="1">
      <c r="A14" s="4">
        <f t="shared" si="0"/>
        <v>13</v>
      </c>
      <c r="B14" s="5" t="s">
        <v>109</v>
      </c>
      <c r="C14" s="6" t="s">
        <v>17</v>
      </c>
      <c r="D14" s="6" t="s">
        <v>17</v>
      </c>
      <c r="E14" s="5" t="s">
        <v>110</v>
      </c>
      <c r="F14" s="5" t="s">
        <v>111</v>
      </c>
      <c r="G14" s="5"/>
      <c r="H14" s="5" t="s">
        <v>32</v>
      </c>
      <c r="I14" s="8" t="s">
        <v>94</v>
      </c>
      <c r="J14" s="8" t="s">
        <v>34</v>
      </c>
      <c r="K14" s="6" t="s">
        <v>25</v>
      </c>
      <c r="L14" s="7" t="s">
        <v>310</v>
      </c>
      <c r="M14" s="7" t="s">
        <v>112</v>
      </c>
      <c r="N14" s="5" t="s">
        <v>113</v>
      </c>
      <c r="O14" s="5"/>
      <c r="P14" s="5"/>
      <c r="Q14"/>
    </row>
    <row r="15" spans="1:17" ht="84" customHeight="1">
      <c r="A15" s="9">
        <f t="shared" si="0"/>
        <v>14</v>
      </c>
      <c r="B15" s="13" t="s">
        <v>114</v>
      </c>
      <c r="C15" s="11" t="s">
        <v>18</v>
      </c>
      <c r="D15" s="11" t="s">
        <v>46</v>
      </c>
      <c r="E15" s="13" t="s">
        <v>115</v>
      </c>
      <c r="F15" s="10" t="s">
        <v>116</v>
      </c>
      <c r="G15" s="10"/>
      <c r="H15" s="10" t="s">
        <v>117</v>
      </c>
      <c r="I15" s="12" t="s">
        <v>34</v>
      </c>
      <c r="J15" s="12" t="s">
        <v>34</v>
      </c>
      <c r="K15" s="11" t="s">
        <v>87</v>
      </c>
      <c r="L15" s="10"/>
      <c r="M15" s="10" t="s">
        <v>118</v>
      </c>
      <c r="N15" s="10" t="s">
        <v>119</v>
      </c>
      <c r="O15" s="10"/>
      <c r="P15" s="10"/>
      <c r="Q15"/>
    </row>
    <row r="16" spans="1:17" ht="72" customHeight="1">
      <c r="A16" s="4">
        <f t="shared" si="0"/>
        <v>15</v>
      </c>
      <c r="B16" s="7" t="s">
        <v>120</v>
      </c>
      <c r="C16" s="6" t="s">
        <v>17</v>
      </c>
      <c r="D16" s="6" t="s">
        <v>17</v>
      </c>
      <c r="E16" s="7" t="s">
        <v>121</v>
      </c>
      <c r="F16" s="5" t="s">
        <v>122</v>
      </c>
      <c r="G16" s="5"/>
      <c r="H16" s="7" t="s">
        <v>123</v>
      </c>
      <c r="I16" s="8" t="s">
        <v>71</v>
      </c>
      <c r="J16" s="8"/>
      <c r="K16" s="6" t="s">
        <v>25</v>
      </c>
      <c r="L16" s="5"/>
      <c r="M16" s="5" t="s">
        <v>124</v>
      </c>
      <c r="N16" s="5" t="s">
        <v>125</v>
      </c>
      <c r="O16" s="5"/>
      <c r="P16" s="5"/>
      <c r="Q16"/>
    </row>
    <row r="17" spans="1:17" ht="27.75" customHeight="1">
      <c r="A17" s="9">
        <f t="shared" si="0"/>
        <v>16</v>
      </c>
      <c r="B17" s="10" t="s">
        <v>126</v>
      </c>
      <c r="C17" s="11" t="s">
        <v>18</v>
      </c>
      <c r="D17" s="11" t="s">
        <v>18</v>
      </c>
      <c r="E17" s="10" t="s">
        <v>127</v>
      </c>
      <c r="F17" s="10" t="s">
        <v>128</v>
      </c>
      <c r="G17" s="10"/>
      <c r="H17" s="13" t="s">
        <v>58</v>
      </c>
      <c r="I17" s="12" t="s">
        <v>71</v>
      </c>
      <c r="J17" s="12"/>
      <c r="K17" s="11" t="s">
        <v>129</v>
      </c>
      <c r="L17" s="13"/>
      <c r="M17" s="13" t="s">
        <v>130</v>
      </c>
      <c r="N17" s="10" t="s">
        <v>131</v>
      </c>
      <c r="O17" s="10"/>
      <c r="P17" s="10"/>
      <c r="Q17"/>
    </row>
    <row r="18" spans="1:17" ht="27.75" customHeight="1">
      <c r="A18" s="4">
        <f t="shared" si="0"/>
        <v>17</v>
      </c>
      <c r="B18" s="5" t="s">
        <v>132</v>
      </c>
      <c r="C18" s="6" t="s">
        <v>18</v>
      </c>
      <c r="D18" s="6" t="s">
        <v>18</v>
      </c>
      <c r="E18" s="5" t="s">
        <v>133</v>
      </c>
      <c r="F18" s="5" t="s">
        <v>134</v>
      </c>
      <c r="G18" s="5"/>
      <c r="H18" s="7" t="s">
        <v>58</v>
      </c>
      <c r="I18" s="8" t="s">
        <v>135</v>
      </c>
      <c r="J18" s="8"/>
      <c r="K18" s="6" t="s">
        <v>87</v>
      </c>
      <c r="L18" s="5"/>
      <c r="M18" s="5" t="s">
        <v>136</v>
      </c>
      <c r="N18" s="7"/>
      <c r="O18" s="7"/>
      <c r="P18" s="7"/>
      <c r="Q18"/>
    </row>
    <row r="19" spans="1:17" ht="171" customHeight="1">
      <c r="A19" s="9">
        <f t="shared" si="0"/>
        <v>18</v>
      </c>
      <c r="B19" s="13" t="s">
        <v>137</v>
      </c>
      <c r="C19" s="11" t="s">
        <v>17</v>
      </c>
      <c r="D19" s="11" t="s">
        <v>18</v>
      </c>
      <c r="E19" s="10" t="s">
        <v>138</v>
      </c>
      <c r="F19" s="53" t="s">
        <v>139</v>
      </c>
      <c r="G19" s="13"/>
      <c r="H19" s="53" t="s">
        <v>140</v>
      </c>
      <c r="I19" s="12" t="s">
        <v>141</v>
      </c>
      <c r="J19" s="12" t="s">
        <v>71</v>
      </c>
      <c r="K19" s="11" t="s">
        <v>25</v>
      </c>
      <c r="L19" s="10" t="s">
        <v>311</v>
      </c>
      <c r="M19" s="54" t="s">
        <v>142</v>
      </c>
      <c r="N19" s="13" t="s">
        <v>143</v>
      </c>
      <c r="O19" s="13"/>
      <c r="P19" s="13"/>
      <c r="Q19"/>
    </row>
    <row r="20" spans="1:17" ht="79.5" customHeight="1">
      <c r="A20" s="4">
        <f t="shared" si="0"/>
        <v>19</v>
      </c>
      <c r="B20" s="7" t="s">
        <v>144</v>
      </c>
      <c r="C20" s="6" t="s">
        <v>17</v>
      </c>
      <c r="D20" s="6" t="s">
        <v>17</v>
      </c>
      <c r="E20" s="7" t="s">
        <v>145</v>
      </c>
      <c r="F20" s="5" t="s">
        <v>146</v>
      </c>
      <c r="G20" s="5"/>
      <c r="H20" s="5" t="s">
        <v>32</v>
      </c>
      <c r="I20" s="8" t="s">
        <v>135</v>
      </c>
      <c r="J20" s="8"/>
      <c r="K20" s="6" t="s">
        <v>25</v>
      </c>
      <c r="L20" s="7" t="s">
        <v>312</v>
      </c>
      <c r="M20" s="7" t="s">
        <v>147</v>
      </c>
      <c r="N20" s="7"/>
      <c r="O20" s="7"/>
      <c r="P20" s="7"/>
      <c r="Q20"/>
    </row>
    <row r="21" spans="1:17" ht="158.25" customHeight="1">
      <c r="A21" s="9">
        <f t="shared" si="0"/>
        <v>20</v>
      </c>
      <c r="B21" s="10" t="s">
        <v>148</v>
      </c>
      <c r="C21" s="11" t="s">
        <v>18</v>
      </c>
      <c r="D21" s="11" t="s">
        <v>18</v>
      </c>
      <c r="E21" s="13" t="s">
        <v>149</v>
      </c>
      <c r="F21" s="13" t="s">
        <v>150</v>
      </c>
      <c r="G21" s="13" t="s">
        <v>151</v>
      </c>
      <c r="H21" s="10" t="s">
        <v>32</v>
      </c>
      <c r="I21" s="44" t="s">
        <v>152</v>
      </c>
      <c r="J21" s="12" t="s">
        <v>153</v>
      </c>
      <c r="K21" s="11" t="s">
        <v>87</v>
      </c>
      <c r="L21" s="13" t="s">
        <v>313</v>
      </c>
      <c r="M21" s="49" t="s">
        <v>154</v>
      </c>
      <c r="N21" s="10" t="s">
        <v>155</v>
      </c>
      <c r="O21" s="10"/>
      <c r="P21" s="10"/>
      <c r="Q21"/>
    </row>
    <row r="22" spans="1:17" ht="110.25" customHeight="1">
      <c r="A22" s="4">
        <f t="shared" si="0"/>
        <v>21</v>
      </c>
      <c r="B22" s="5" t="s">
        <v>156</v>
      </c>
      <c r="C22" s="6" t="s">
        <v>17</v>
      </c>
      <c r="D22" s="6" t="s">
        <v>46</v>
      </c>
      <c r="E22" s="5" t="s">
        <v>157</v>
      </c>
      <c r="F22" s="5" t="s">
        <v>158</v>
      </c>
      <c r="G22" s="5"/>
      <c r="H22" s="7" t="s">
        <v>159</v>
      </c>
      <c r="I22" s="8" t="s">
        <v>160</v>
      </c>
      <c r="J22" s="8" t="s">
        <v>34</v>
      </c>
      <c r="K22" s="6" t="s">
        <v>87</v>
      </c>
      <c r="L22" s="5" t="s">
        <v>314</v>
      </c>
      <c r="M22" s="5" t="s">
        <v>161</v>
      </c>
      <c r="N22" s="5" t="s">
        <v>162</v>
      </c>
      <c r="O22" s="5"/>
      <c r="P22" s="5"/>
      <c r="Q22"/>
    </row>
    <row r="23" spans="1:17" ht="141.75" customHeight="1">
      <c r="A23" s="9">
        <f t="shared" si="0"/>
        <v>22</v>
      </c>
      <c r="B23" s="10" t="s">
        <v>163</v>
      </c>
      <c r="C23" s="11" t="s">
        <v>46</v>
      </c>
      <c r="D23" s="11" t="s">
        <v>46</v>
      </c>
      <c r="E23" s="10" t="s">
        <v>163</v>
      </c>
      <c r="F23" s="10" t="s">
        <v>164</v>
      </c>
      <c r="G23" s="10"/>
      <c r="H23" s="13" t="s">
        <v>159</v>
      </c>
      <c r="I23" s="12" t="s">
        <v>86</v>
      </c>
      <c r="J23" s="12"/>
      <c r="K23" s="11" t="s">
        <v>87</v>
      </c>
      <c r="L23" s="13"/>
      <c r="M23" s="13"/>
      <c r="N23" s="10" t="s">
        <v>165</v>
      </c>
      <c r="O23" s="10"/>
      <c r="P23" s="10"/>
      <c r="Q23"/>
    </row>
    <row r="24" spans="1:17" ht="75" customHeight="1">
      <c r="A24" s="4">
        <f t="shared" si="0"/>
        <v>23</v>
      </c>
      <c r="B24" s="7" t="s">
        <v>166</v>
      </c>
      <c r="C24" s="6" t="s">
        <v>17</v>
      </c>
      <c r="D24" s="6" t="s">
        <v>46</v>
      </c>
      <c r="E24" s="7" t="s">
        <v>166</v>
      </c>
      <c r="F24" s="7" t="s">
        <v>167</v>
      </c>
      <c r="G24" s="7"/>
      <c r="H24" s="5" t="s">
        <v>168</v>
      </c>
      <c r="I24" s="8" t="s">
        <v>33</v>
      </c>
      <c r="J24" s="8" t="s">
        <v>34</v>
      </c>
      <c r="K24" s="6" t="s">
        <v>25</v>
      </c>
      <c r="L24" s="5" t="s">
        <v>315</v>
      </c>
      <c r="M24" s="51" t="s">
        <v>169</v>
      </c>
      <c r="N24" s="5" t="s">
        <v>170</v>
      </c>
      <c r="O24" s="5"/>
      <c r="P24" s="5"/>
      <c r="Q24"/>
    </row>
    <row r="25" spans="1:17" ht="27.75" customHeight="1">
      <c r="A25" s="9">
        <f t="shared" si="0"/>
        <v>24</v>
      </c>
      <c r="B25" s="10" t="s">
        <v>171</v>
      </c>
      <c r="C25" s="11" t="s">
        <v>17</v>
      </c>
      <c r="D25" s="11" t="s">
        <v>17</v>
      </c>
      <c r="E25" s="10" t="s">
        <v>172</v>
      </c>
      <c r="F25" s="10" t="s">
        <v>173</v>
      </c>
      <c r="G25" s="10"/>
      <c r="H25" s="10" t="s">
        <v>174</v>
      </c>
      <c r="I25" s="12" t="s">
        <v>34</v>
      </c>
      <c r="J25" s="12" t="s">
        <v>34</v>
      </c>
      <c r="K25" s="11" t="s">
        <v>25</v>
      </c>
      <c r="L25" s="10" t="s">
        <v>316</v>
      </c>
      <c r="M25" s="10" t="s">
        <v>175</v>
      </c>
      <c r="N25" s="13" t="s">
        <v>176</v>
      </c>
      <c r="O25" s="13"/>
      <c r="P25" s="13"/>
      <c r="Q25"/>
    </row>
    <row r="26" spans="1:17" ht="69.75" customHeight="1">
      <c r="A26" s="4">
        <f t="shared" si="0"/>
        <v>25</v>
      </c>
      <c r="B26" s="5" t="s">
        <v>177</v>
      </c>
      <c r="C26" s="6" t="s">
        <v>18</v>
      </c>
      <c r="D26" s="6" t="s">
        <v>46</v>
      </c>
      <c r="E26" s="5" t="s">
        <v>178</v>
      </c>
      <c r="F26" s="5" t="s">
        <v>179</v>
      </c>
      <c r="G26" s="5"/>
      <c r="H26" s="5" t="s">
        <v>117</v>
      </c>
      <c r="I26" s="8" t="s">
        <v>180</v>
      </c>
      <c r="J26" s="8" t="s">
        <v>180</v>
      </c>
      <c r="K26" s="6" t="s">
        <v>25</v>
      </c>
      <c r="L26" s="5"/>
      <c r="M26" s="5" t="s">
        <v>181</v>
      </c>
      <c r="N26" s="5" t="s">
        <v>182</v>
      </c>
      <c r="O26" s="5"/>
      <c r="P26" s="5"/>
      <c r="Q26"/>
    </row>
    <row r="27" spans="1:17" ht="60">
      <c r="A27" s="9">
        <f t="shared" si="0"/>
        <v>26</v>
      </c>
      <c r="B27" s="10" t="s">
        <v>183</v>
      </c>
      <c r="C27" s="11" t="s">
        <v>17</v>
      </c>
      <c r="D27" s="11" t="s">
        <v>46</v>
      </c>
      <c r="E27" s="10" t="s">
        <v>184</v>
      </c>
      <c r="F27" s="10" t="s">
        <v>185</v>
      </c>
      <c r="G27" s="10"/>
      <c r="H27" s="10" t="s">
        <v>106</v>
      </c>
      <c r="I27" s="12" t="s">
        <v>186</v>
      </c>
      <c r="J27" s="12"/>
      <c r="K27" s="11" t="s">
        <v>187</v>
      </c>
      <c r="L27" s="10"/>
      <c r="M27" s="10" t="s">
        <v>188</v>
      </c>
      <c r="N27" s="10" t="s">
        <v>189</v>
      </c>
      <c r="O27" s="10"/>
      <c r="P27" s="10"/>
      <c r="Q27"/>
    </row>
    <row r="28" spans="1:17" ht="69" customHeight="1">
      <c r="A28" s="4">
        <f t="shared" si="0"/>
        <v>27</v>
      </c>
      <c r="B28" s="7" t="s">
        <v>190</v>
      </c>
      <c r="C28" s="6" t="s">
        <v>46</v>
      </c>
      <c r="D28" s="6" t="s">
        <v>46</v>
      </c>
      <c r="E28" s="5" t="s">
        <v>191</v>
      </c>
      <c r="F28" s="5" t="s">
        <v>192</v>
      </c>
      <c r="G28" s="5"/>
      <c r="H28" s="5" t="s">
        <v>193</v>
      </c>
      <c r="I28" s="8" t="s">
        <v>194</v>
      </c>
      <c r="J28" s="8" t="s">
        <v>34</v>
      </c>
      <c r="K28" s="6" t="s">
        <v>87</v>
      </c>
      <c r="L28" s="5" t="s">
        <v>317</v>
      </c>
      <c r="M28" s="5" t="s">
        <v>195</v>
      </c>
      <c r="N28" s="7" t="s">
        <v>196</v>
      </c>
      <c r="O28" s="7"/>
      <c r="P28" s="7"/>
      <c r="Q28"/>
    </row>
    <row r="29" spans="1:17" ht="80.25" customHeight="1">
      <c r="A29" s="9">
        <f t="shared" si="0"/>
        <v>28</v>
      </c>
      <c r="B29" s="10" t="s">
        <v>197</v>
      </c>
      <c r="C29" s="11" t="s">
        <v>46</v>
      </c>
      <c r="D29" s="11" t="s">
        <v>46</v>
      </c>
      <c r="E29" s="10" t="s">
        <v>198</v>
      </c>
      <c r="F29" s="10" t="s">
        <v>199</v>
      </c>
      <c r="G29" s="10"/>
      <c r="H29" s="10" t="s">
        <v>200</v>
      </c>
      <c r="I29" s="12" t="s">
        <v>201</v>
      </c>
      <c r="J29" s="44" t="s">
        <v>24</v>
      </c>
      <c r="K29" s="11" t="s">
        <v>87</v>
      </c>
      <c r="L29" s="10" t="s">
        <v>318</v>
      </c>
      <c r="M29" s="10" t="s">
        <v>202</v>
      </c>
      <c r="N29" s="10" t="s">
        <v>203</v>
      </c>
      <c r="O29" s="10"/>
      <c r="P29" s="10"/>
      <c r="Q29"/>
    </row>
    <row r="30" spans="1:17" ht="129.75" customHeight="1">
      <c r="A30" s="4">
        <f t="shared" si="0"/>
        <v>29</v>
      </c>
      <c r="B30" s="7" t="s">
        <v>204</v>
      </c>
      <c r="C30" s="6" t="s">
        <v>17</v>
      </c>
      <c r="D30" s="6" t="s">
        <v>46</v>
      </c>
      <c r="E30" s="5" t="s">
        <v>205</v>
      </c>
      <c r="F30" s="7" t="s">
        <v>206</v>
      </c>
      <c r="G30" s="7"/>
      <c r="H30" s="5" t="s">
        <v>207</v>
      </c>
      <c r="I30" s="8" t="s">
        <v>201</v>
      </c>
      <c r="J30" s="8" t="s">
        <v>180</v>
      </c>
      <c r="K30" s="6" t="s">
        <v>208</v>
      </c>
      <c r="L30" s="5" t="s">
        <v>319</v>
      </c>
      <c r="M30" s="5" t="s">
        <v>209</v>
      </c>
      <c r="N30" s="64" t="s">
        <v>210</v>
      </c>
      <c r="O30" s="7"/>
      <c r="P30" s="7"/>
      <c r="Q30"/>
    </row>
    <row r="31" spans="1:17" ht="39" customHeight="1">
      <c r="A31" s="9">
        <f t="shared" si="0"/>
        <v>30</v>
      </c>
      <c r="B31" s="13" t="s">
        <v>211</v>
      </c>
      <c r="C31" s="11" t="s">
        <v>17</v>
      </c>
      <c r="D31" s="11" t="s">
        <v>18</v>
      </c>
      <c r="E31" s="13" t="s">
        <v>212</v>
      </c>
      <c r="F31" s="13" t="s">
        <v>213</v>
      </c>
      <c r="G31" s="13"/>
      <c r="H31" s="13" t="s">
        <v>58</v>
      </c>
      <c r="I31" s="12" t="s">
        <v>214</v>
      </c>
      <c r="J31" s="12" t="s">
        <v>71</v>
      </c>
      <c r="K31" s="11" t="s">
        <v>25</v>
      </c>
      <c r="L31" s="13" t="s">
        <v>320</v>
      </c>
      <c r="M31" s="13" t="s">
        <v>215</v>
      </c>
      <c r="N31" s="13" t="s">
        <v>216</v>
      </c>
      <c r="O31" s="13"/>
      <c r="P31" s="13"/>
      <c r="Q31"/>
    </row>
    <row r="32" spans="1:17" ht="84">
      <c r="A32" s="4">
        <f t="shared" si="0"/>
        <v>31</v>
      </c>
      <c r="B32" s="5" t="s">
        <v>217</v>
      </c>
      <c r="C32" s="6" t="s">
        <v>46</v>
      </c>
      <c r="D32" s="6" t="s">
        <v>46</v>
      </c>
      <c r="E32" s="5" t="s">
        <v>218</v>
      </c>
      <c r="F32" s="5" t="s">
        <v>219</v>
      </c>
      <c r="G32" s="5"/>
      <c r="H32" s="5" t="s">
        <v>220</v>
      </c>
      <c r="I32" s="45" t="s">
        <v>152</v>
      </c>
      <c r="J32" s="8" t="s">
        <v>221</v>
      </c>
      <c r="K32" s="6" t="s">
        <v>87</v>
      </c>
      <c r="L32" s="5" t="s">
        <v>87</v>
      </c>
      <c r="M32" s="5" t="s">
        <v>222</v>
      </c>
      <c r="N32" s="7"/>
      <c r="O32" s="7"/>
      <c r="P32" s="7"/>
      <c r="Q32"/>
    </row>
    <row r="33" spans="1:17" ht="27.75" customHeight="1">
      <c r="A33" s="9">
        <f t="shared" si="0"/>
        <v>32</v>
      </c>
      <c r="B33" s="13" t="s">
        <v>223</v>
      </c>
      <c r="C33" s="11" t="s">
        <v>18</v>
      </c>
      <c r="D33" s="11" t="s">
        <v>18</v>
      </c>
      <c r="E33" s="13"/>
      <c r="F33" s="13"/>
      <c r="G33" s="13"/>
      <c r="H33" s="13" t="s">
        <v>159</v>
      </c>
      <c r="I33" s="12" t="s">
        <v>224</v>
      </c>
      <c r="J33" s="12" t="s">
        <v>34</v>
      </c>
      <c r="K33" s="11" t="s">
        <v>129</v>
      </c>
      <c r="L33" s="13" t="s">
        <v>321</v>
      </c>
      <c r="M33" s="13"/>
      <c r="N33" s="13" t="s">
        <v>225</v>
      </c>
      <c r="O33" s="13"/>
      <c r="P33" s="13"/>
      <c r="Q33"/>
    </row>
    <row r="34" spans="1:17" ht="93.75" customHeight="1">
      <c r="A34" s="4">
        <f t="shared" si="0"/>
        <v>33</v>
      </c>
      <c r="B34" s="7" t="s">
        <v>226</v>
      </c>
      <c r="C34" s="6" t="s">
        <v>46</v>
      </c>
      <c r="D34" s="6" t="s">
        <v>46</v>
      </c>
      <c r="E34" s="5" t="s">
        <v>227</v>
      </c>
      <c r="F34" s="7" t="s">
        <v>228</v>
      </c>
      <c r="G34" s="7"/>
      <c r="H34" s="7" t="s">
        <v>229</v>
      </c>
      <c r="I34" s="8" t="s">
        <v>230</v>
      </c>
      <c r="J34" s="45" t="s">
        <v>221</v>
      </c>
      <c r="K34" s="6" t="s">
        <v>87</v>
      </c>
      <c r="L34" s="5" t="s">
        <v>322</v>
      </c>
      <c r="M34" s="5" t="s">
        <v>232</v>
      </c>
      <c r="N34" s="5" t="s">
        <v>233</v>
      </c>
      <c r="O34" s="5"/>
      <c r="P34" s="5"/>
      <c r="Q34"/>
    </row>
    <row r="35" spans="1:17" ht="39.75" customHeight="1">
      <c r="A35" s="9">
        <f t="shared" si="0"/>
        <v>34</v>
      </c>
      <c r="B35" s="10" t="s">
        <v>234</v>
      </c>
      <c r="C35" s="11" t="s">
        <v>46</v>
      </c>
      <c r="D35" s="11" t="s">
        <v>46</v>
      </c>
      <c r="E35" s="10" t="s">
        <v>235</v>
      </c>
      <c r="F35" s="13"/>
      <c r="G35" s="13"/>
      <c r="H35" s="10" t="s">
        <v>236</v>
      </c>
      <c r="I35" s="12" t="s">
        <v>33</v>
      </c>
      <c r="J35" s="12" t="s">
        <v>34</v>
      </c>
      <c r="K35" s="11" t="s">
        <v>87</v>
      </c>
      <c r="L35" s="13" t="s">
        <v>87</v>
      </c>
      <c r="M35" s="13"/>
      <c r="N35" s="13"/>
      <c r="O35" s="13"/>
      <c r="P35" s="13"/>
      <c r="Q35"/>
    </row>
    <row r="36" spans="1:17" ht="54.75" customHeight="1">
      <c r="A36" s="4">
        <f t="shared" si="0"/>
        <v>35</v>
      </c>
      <c r="B36" s="5" t="s">
        <v>237</v>
      </c>
      <c r="C36" s="6" t="s">
        <v>18</v>
      </c>
      <c r="D36" s="6" t="s">
        <v>18</v>
      </c>
      <c r="E36" s="5" t="s">
        <v>238</v>
      </c>
      <c r="F36" s="5" t="s">
        <v>239</v>
      </c>
      <c r="G36" s="5"/>
      <c r="H36" s="5" t="s">
        <v>240</v>
      </c>
      <c r="I36" s="8" t="s">
        <v>135</v>
      </c>
      <c r="J36" s="8"/>
      <c r="K36" s="6" t="s">
        <v>87</v>
      </c>
      <c r="L36" s="7"/>
      <c r="M36" s="7"/>
      <c r="N36" s="5" t="s">
        <v>241</v>
      </c>
      <c r="O36" s="5"/>
      <c r="P36" s="5"/>
      <c r="Q36"/>
    </row>
    <row r="37" spans="1:17" ht="138" customHeight="1">
      <c r="A37" s="9">
        <f t="shared" si="0"/>
        <v>36</v>
      </c>
      <c r="B37" s="10" t="s">
        <v>242</v>
      </c>
      <c r="C37" s="11" t="s">
        <v>17</v>
      </c>
      <c r="D37" s="11" t="s">
        <v>46</v>
      </c>
      <c r="E37" s="10" t="s">
        <v>243</v>
      </c>
      <c r="F37" s="10" t="s">
        <v>244</v>
      </c>
      <c r="G37" s="10"/>
      <c r="H37" s="10" t="s">
        <v>245</v>
      </c>
      <c r="I37" s="12" t="s">
        <v>34</v>
      </c>
      <c r="J37" s="12" t="s">
        <v>34</v>
      </c>
      <c r="K37" s="11" t="s">
        <v>87</v>
      </c>
      <c r="L37" s="10" t="s">
        <v>323</v>
      </c>
      <c r="M37" s="10" t="s">
        <v>246</v>
      </c>
      <c r="N37" s="13" t="s">
        <v>247</v>
      </c>
      <c r="O37" s="13"/>
      <c r="P37" s="13"/>
      <c r="Q37"/>
    </row>
    <row r="38" spans="1:17" ht="93" customHeight="1">
      <c r="A38" s="9">
        <f t="shared" si="0"/>
        <v>37</v>
      </c>
      <c r="B38" s="5" t="s">
        <v>248</v>
      </c>
      <c r="C38" s="6" t="s">
        <v>17</v>
      </c>
      <c r="D38" s="6" t="s">
        <v>17</v>
      </c>
      <c r="E38" s="5" t="s">
        <v>249</v>
      </c>
      <c r="F38" s="5" t="s">
        <v>250</v>
      </c>
      <c r="G38" s="5"/>
      <c r="H38" s="5" t="s">
        <v>245</v>
      </c>
      <c r="I38" s="8"/>
      <c r="J38" s="45"/>
      <c r="K38" s="6" t="s">
        <v>87</v>
      </c>
      <c r="L38" s="5"/>
      <c r="M38" s="5"/>
      <c r="N38" s="7"/>
      <c r="O38" s="7"/>
      <c r="P38" s="7"/>
      <c r="Q38"/>
    </row>
    <row r="39" spans="1:17" ht="93" customHeight="1">
      <c r="A39" s="9">
        <f t="shared" si="0"/>
        <v>38</v>
      </c>
      <c r="B39" s="57" t="s">
        <v>251</v>
      </c>
      <c r="C39" s="58" t="s">
        <v>18</v>
      </c>
      <c r="D39" s="58" t="s">
        <v>18</v>
      </c>
      <c r="E39" s="57" t="s">
        <v>252</v>
      </c>
      <c r="F39" s="57" t="s">
        <v>253</v>
      </c>
      <c r="G39" s="57"/>
      <c r="H39" s="57" t="s">
        <v>254</v>
      </c>
      <c r="I39" s="59"/>
      <c r="J39" s="60"/>
      <c r="K39" s="58" t="s">
        <v>87</v>
      </c>
      <c r="L39" s="57"/>
      <c r="M39" s="62"/>
      <c r="N39" s="61"/>
      <c r="O39" s="61"/>
      <c r="P39" s="61"/>
      <c r="Q39"/>
    </row>
    <row r="40" spans="1:17" ht="93" customHeight="1">
      <c r="A40" s="9">
        <f t="shared" si="0"/>
        <v>39</v>
      </c>
      <c r="B40" s="5" t="s">
        <v>255</v>
      </c>
      <c r="C40" s="6" t="s">
        <v>17</v>
      </c>
      <c r="D40" s="6" t="s">
        <v>46</v>
      </c>
      <c r="E40" s="5" t="s">
        <v>252</v>
      </c>
      <c r="F40" s="5" t="s">
        <v>256</v>
      </c>
      <c r="G40" s="5"/>
      <c r="H40" s="5" t="s">
        <v>245</v>
      </c>
      <c r="I40" s="8" t="s">
        <v>94</v>
      </c>
      <c r="J40" s="45" t="s">
        <v>153</v>
      </c>
      <c r="K40" s="6" t="s">
        <v>87</v>
      </c>
      <c r="L40" s="5" t="s">
        <v>324</v>
      </c>
      <c r="M40" s="63" t="s">
        <v>258</v>
      </c>
      <c r="N40" s="7" t="s">
        <v>259</v>
      </c>
      <c r="O40" s="7"/>
      <c r="P40" s="7"/>
      <c r="Q40"/>
    </row>
    <row r="41" spans="1:17" ht="174.75" customHeight="1">
      <c r="A41" s="9">
        <f t="shared" si="0"/>
        <v>40</v>
      </c>
      <c r="B41" s="57" t="s">
        <v>260</v>
      </c>
      <c r="C41" s="58" t="s">
        <v>17</v>
      </c>
      <c r="D41" s="58" t="s">
        <v>17</v>
      </c>
      <c r="E41" s="57"/>
      <c r="F41" s="57" t="s">
        <v>261</v>
      </c>
      <c r="G41" s="57"/>
      <c r="H41" s="57" t="s">
        <v>262</v>
      </c>
      <c r="I41" s="59"/>
      <c r="J41" s="60"/>
      <c r="K41" s="58" t="s">
        <v>87</v>
      </c>
      <c r="L41" s="57"/>
      <c r="M41" s="62" t="s">
        <v>263</v>
      </c>
      <c r="N41" s="61"/>
      <c r="O41" s="61"/>
      <c r="P41" s="61"/>
      <c r="Q41"/>
    </row>
    <row r="42" spans="1:17" ht="18" customHeight="1">
      <c r="A42" s="14" t="s">
        <v>266</v>
      </c>
      <c r="B42" s="15"/>
      <c r="C42" s="15"/>
      <c r="D42" s="15"/>
      <c r="E42" s="15"/>
      <c r="F42" s="15"/>
      <c r="G42" s="15"/>
      <c r="H42" s="15"/>
      <c r="I42" s="15"/>
      <c r="J42" s="15"/>
      <c r="K42" s="15"/>
      <c r="L42" s="15"/>
      <c r="M42" s="15"/>
      <c r="N42" s="15"/>
      <c r="O42" s="15"/>
      <c r="P42" s="15"/>
      <c r="Q42"/>
    </row>
    <row r="43" spans="1:17" ht="27.75" customHeight="1">
      <c r="A43" s="4">
        <f>ROW()-2</f>
        <v>41</v>
      </c>
      <c r="B43" s="5" t="s">
        <v>267</v>
      </c>
      <c r="C43" s="6" t="s">
        <v>18</v>
      </c>
      <c r="D43" s="6" t="s">
        <v>18</v>
      </c>
      <c r="E43" s="7" t="s">
        <v>268</v>
      </c>
      <c r="F43" s="7"/>
      <c r="G43" s="7"/>
      <c r="H43" s="7"/>
      <c r="I43" s="45" t="s">
        <v>269</v>
      </c>
      <c r="J43" s="45" t="s">
        <v>269</v>
      </c>
      <c r="K43" s="6" t="s">
        <v>25</v>
      </c>
      <c r="L43" s="7"/>
      <c r="M43" s="7"/>
      <c r="N43" s="7" t="s">
        <v>270</v>
      </c>
      <c r="O43" s="7"/>
      <c r="P43" s="7"/>
      <c r="Q43"/>
    </row>
    <row r="44" spans="1:17" ht="60.75" customHeight="1">
      <c r="A44" s="9">
        <f t="shared" ref="A44:A47" si="1">ROW()-2</f>
        <v>42</v>
      </c>
      <c r="B44" s="13" t="s">
        <v>271</v>
      </c>
      <c r="C44" s="11" t="s">
        <v>18</v>
      </c>
      <c r="D44" s="11" t="s">
        <v>46</v>
      </c>
      <c r="E44" s="13" t="s">
        <v>272</v>
      </c>
      <c r="F44" s="13" t="s">
        <v>273</v>
      </c>
      <c r="G44" s="13"/>
      <c r="H44" s="13" t="s">
        <v>274</v>
      </c>
      <c r="I44" s="44" t="s">
        <v>269</v>
      </c>
      <c r="J44" s="44" t="s">
        <v>269</v>
      </c>
      <c r="K44" s="11" t="s">
        <v>25</v>
      </c>
      <c r="L44" s="10"/>
      <c r="M44" s="10" t="s">
        <v>275</v>
      </c>
      <c r="N44" s="13"/>
      <c r="O44" s="13"/>
      <c r="P44" s="13"/>
      <c r="Q44"/>
    </row>
    <row r="45" spans="1:17" ht="136.5" customHeight="1">
      <c r="A45" s="4">
        <f t="shared" si="1"/>
        <v>43</v>
      </c>
      <c r="B45" s="5" t="s">
        <v>276</v>
      </c>
      <c r="C45" s="6" t="s">
        <v>46</v>
      </c>
      <c r="D45" s="6" t="s">
        <v>46</v>
      </c>
      <c r="E45" s="5" t="s">
        <v>277</v>
      </c>
      <c r="F45" s="7"/>
      <c r="G45" s="7"/>
      <c r="H45" s="7"/>
      <c r="I45" s="45" t="s">
        <v>269</v>
      </c>
      <c r="J45" s="45" t="s">
        <v>269</v>
      </c>
      <c r="K45" s="6" t="s">
        <v>187</v>
      </c>
      <c r="L45" s="5"/>
      <c r="M45" s="5" t="s">
        <v>278</v>
      </c>
      <c r="N45" s="7"/>
      <c r="O45" s="7"/>
      <c r="P45" s="7"/>
      <c r="Q45"/>
    </row>
    <row r="46" spans="1:17" ht="60">
      <c r="A46" s="9">
        <f t="shared" si="1"/>
        <v>44</v>
      </c>
      <c r="B46" s="10" t="s">
        <v>279</v>
      </c>
      <c r="C46" s="11" t="s">
        <v>46</v>
      </c>
      <c r="D46" s="11" t="s">
        <v>46</v>
      </c>
      <c r="E46" s="10" t="s">
        <v>280</v>
      </c>
      <c r="F46" s="10" t="s">
        <v>281</v>
      </c>
      <c r="G46" s="10"/>
      <c r="H46" s="10" t="s">
        <v>282</v>
      </c>
      <c r="I46" s="44" t="s">
        <v>283</v>
      </c>
      <c r="J46" s="44" t="s">
        <v>283</v>
      </c>
      <c r="K46" s="11" t="s">
        <v>87</v>
      </c>
      <c r="L46" s="10"/>
      <c r="M46" s="10" t="s">
        <v>284</v>
      </c>
      <c r="N46" s="13"/>
      <c r="O46" s="13"/>
      <c r="P46" s="13"/>
      <c r="Q46"/>
    </row>
    <row r="47" spans="1:17" ht="51.75" customHeight="1">
      <c r="A47" s="4">
        <f t="shared" si="1"/>
        <v>45</v>
      </c>
      <c r="B47" s="5" t="s">
        <v>285</v>
      </c>
      <c r="C47" s="6" t="s">
        <v>18</v>
      </c>
      <c r="D47" s="6" t="s">
        <v>18</v>
      </c>
      <c r="E47" s="5" t="s">
        <v>286</v>
      </c>
      <c r="F47" s="5" t="s">
        <v>287</v>
      </c>
      <c r="G47" s="5"/>
      <c r="H47" s="5" t="s">
        <v>288</v>
      </c>
      <c r="I47" s="8" t="s">
        <v>41</v>
      </c>
      <c r="J47" s="8" t="s">
        <v>41</v>
      </c>
      <c r="K47" s="6" t="s">
        <v>187</v>
      </c>
      <c r="L47" s="5"/>
      <c r="M47" s="5" t="s">
        <v>289</v>
      </c>
      <c r="N47" s="7"/>
      <c r="O47" s="7"/>
      <c r="P47" s="7"/>
      <c r="Q47"/>
    </row>
    <row r="48" spans="1:17" ht="15" customHeight="1">
      <c r="Q48"/>
    </row>
    <row r="49" spans="1:17" ht="15" customHeight="1">
      <c r="Q49"/>
    </row>
    <row r="50" spans="1:17" ht="15" customHeight="1">
      <c r="Q50"/>
    </row>
    <row r="51" spans="1:17" ht="20.25">
      <c r="A51" s="16" t="s">
        <v>290</v>
      </c>
    </row>
    <row r="52" spans="1:17" ht="15" customHeight="1">
      <c r="B52" s="17" t="s">
        <v>291</v>
      </c>
    </row>
    <row r="54" spans="1:17" ht="15" customHeight="1">
      <c r="B54" s="18" t="s">
        <v>292</v>
      </c>
      <c r="C54" s="18" t="s">
        <v>293</v>
      </c>
      <c r="D54" s="18" t="s">
        <v>25</v>
      </c>
      <c r="E54" s="18" t="s">
        <v>129</v>
      </c>
      <c r="F54" s="18" t="s">
        <v>208</v>
      </c>
      <c r="G54" s="18"/>
      <c r="H54" s="18" t="s">
        <v>87</v>
      </c>
      <c r="I54" s="18" t="s">
        <v>187</v>
      </c>
      <c r="J54" s="18" t="s">
        <v>187</v>
      </c>
      <c r="K54" s="18" t="s">
        <v>294</v>
      </c>
      <c r="L54" s="18" t="s">
        <v>295</v>
      </c>
    </row>
    <row r="55" spans="1:17" ht="15" customHeight="1">
      <c r="B55" s="19" t="s">
        <v>296</v>
      </c>
      <c r="C55" s="19">
        <f>COUNTIF(CX進捗0330!$I:$I,"*鈴木佑*")</f>
        <v>5</v>
      </c>
      <c r="D55" s="20">
        <f t="shared" ref="D55:F60" si="2">COUNTIFS($I$1:$I$49,"*"&amp;$B55&amp;"*",$K$1:$K$49,D$54)</f>
        <v>1</v>
      </c>
      <c r="E55" s="21">
        <f t="shared" si="2"/>
        <v>1</v>
      </c>
      <c r="F55" s="22">
        <f t="shared" si="2"/>
        <v>1</v>
      </c>
      <c r="G55" s="22"/>
      <c r="H55" s="23">
        <f t="shared" ref="H55:L60" si="3">COUNTIFS($I$1:$I$49,"*"&amp;$B55&amp;"*",$K$1:$K$49,H$54)</f>
        <v>1</v>
      </c>
      <c r="I55" s="24">
        <f t="shared" si="3"/>
        <v>1</v>
      </c>
      <c r="J55" s="24">
        <f t="shared" si="3"/>
        <v>1</v>
      </c>
      <c r="K55" s="25">
        <f t="shared" si="3"/>
        <v>0</v>
      </c>
      <c r="L55" s="26">
        <f t="shared" si="3"/>
        <v>0</v>
      </c>
    </row>
    <row r="56" spans="1:17" ht="15" customHeight="1">
      <c r="B56" s="27" t="s">
        <v>180</v>
      </c>
      <c r="C56" s="27">
        <f>COUNTIF(CX進捗0330!$I:$I,"*齋藤*")</f>
        <v>8</v>
      </c>
      <c r="D56" s="20">
        <f t="shared" si="2"/>
        <v>4</v>
      </c>
      <c r="E56" s="21">
        <f t="shared" si="2"/>
        <v>0</v>
      </c>
      <c r="F56" s="22">
        <f t="shared" si="2"/>
        <v>1</v>
      </c>
      <c r="G56" s="22"/>
      <c r="H56" s="23">
        <f t="shared" si="3"/>
        <v>2</v>
      </c>
      <c r="I56" s="24">
        <f t="shared" si="3"/>
        <v>1</v>
      </c>
      <c r="J56" s="24">
        <f t="shared" si="3"/>
        <v>1</v>
      </c>
      <c r="K56" s="25">
        <f t="shared" si="3"/>
        <v>0</v>
      </c>
      <c r="L56" s="26">
        <f t="shared" si="3"/>
        <v>0</v>
      </c>
    </row>
    <row r="57" spans="1:17" ht="15" customHeight="1">
      <c r="B57" s="19" t="s">
        <v>41</v>
      </c>
      <c r="C57" s="19">
        <f>COUNTIF(CX進捗0330!$I:$I,"*鈴木孝*")</f>
        <v>15</v>
      </c>
      <c r="D57" s="20">
        <f t="shared" si="2"/>
        <v>10</v>
      </c>
      <c r="E57" s="21">
        <f t="shared" si="2"/>
        <v>0</v>
      </c>
      <c r="F57" s="22">
        <f t="shared" si="2"/>
        <v>0</v>
      </c>
      <c r="G57" s="22"/>
      <c r="H57" s="23">
        <f t="shared" si="3"/>
        <v>4</v>
      </c>
      <c r="I57" s="24">
        <f t="shared" si="3"/>
        <v>1</v>
      </c>
      <c r="J57" s="24">
        <f t="shared" si="3"/>
        <v>1</v>
      </c>
      <c r="K57" s="25">
        <f t="shared" si="3"/>
        <v>0</v>
      </c>
      <c r="L57" s="26">
        <f t="shared" si="3"/>
        <v>0</v>
      </c>
    </row>
    <row r="58" spans="1:17" ht="15" customHeight="1">
      <c r="B58" s="27" t="s">
        <v>34</v>
      </c>
      <c r="C58" s="27">
        <f>COUNTIF(CX進捗0330!$I:$I,"*横井*")</f>
        <v>18</v>
      </c>
      <c r="D58" s="20">
        <f t="shared" si="2"/>
        <v>8</v>
      </c>
      <c r="E58" s="21">
        <f t="shared" si="2"/>
        <v>1</v>
      </c>
      <c r="F58" s="22">
        <f t="shared" si="2"/>
        <v>0</v>
      </c>
      <c r="G58" s="22"/>
      <c r="H58" s="23">
        <f t="shared" si="3"/>
        <v>8</v>
      </c>
      <c r="I58" s="24">
        <f t="shared" si="3"/>
        <v>1</v>
      </c>
      <c r="J58" s="24">
        <f t="shared" si="3"/>
        <v>1</v>
      </c>
      <c r="K58" s="25">
        <f t="shared" si="3"/>
        <v>0</v>
      </c>
      <c r="L58" s="26">
        <f t="shared" si="3"/>
        <v>0</v>
      </c>
    </row>
    <row r="59" spans="1:17" ht="15" customHeight="1">
      <c r="B59" s="19" t="s">
        <v>297</v>
      </c>
      <c r="C59" s="19">
        <f>COUNTIF(CX進捗0330!$I:$I,"*足立*")</f>
        <v>13</v>
      </c>
      <c r="D59" s="20">
        <f t="shared" si="2"/>
        <v>7</v>
      </c>
      <c r="E59" s="21">
        <f t="shared" si="2"/>
        <v>0</v>
      </c>
      <c r="F59" s="22">
        <f t="shared" si="2"/>
        <v>0</v>
      </c>
      <c r="G59" s="22"/>
      <c r="H59" s="23">
        <f t="shared" si="3"/>
        <v>6</v>
      </c>
      <c r="I59" s="24">
        <f t="shared" si="3"/>
        <v>0</v>
      </c>
      <c r="J59" s="24">
        <f t="shared" si="3"/>
        <v>0</v>
      </c>
      <c r="K59" s="25">
        <f t="shared" si="3"/>
        <v>0</v>
      </c>
      <c r="L59" s="26">
        <f t="shared" si="3"/>
        <v>0</v>
      </c>
    </row>
    <row r="60" spans="1:17" ht="15" customHeight="1">
      <c r="B60" s="27" t="s">
        <v>71</v>
      </c>
      <c r="C60" s="27">
        <f>COUNTIF(CX進捗0330!$I:$I,"*石川*")</f>
        <v>12</v>
      </c>
      <c r="D60" s="20">
        <f t="shared" si="2"/>
        <v>6</v>
      </c>
      <c r="E60" s="21">
        <f t="shared" si="2"/>
        <v>1</v>
      </c>
      <c r="F60" s="22">
        <f t="shared" si="2"/>
        <v>0</v>
      </c>
      <c r="G60" s="22"/>
      <c r="H60" s="23">
        <f t="shared" si="3"/>
        <v>5</v>
      </c>
      <c r="I60" s="24">
        <f t="shared" si="3"/>
        <v>0</v>
      </c>
      <c r="J60" s="24">
        <f t="shared" si="3"/>
        <v>0</v>
      </c>
      <c r="K60" s="25">
        <f t="shared" si="3"/>
        <v>0</v>
      </c>
      <c r="L60" s="26">
        <f t="shared" si="3"/>
        <v>0</v>
      </c>
    </row>
    <row r="61" spans="1:17" ht="15" customHeight="1">
      <c r="B61" s="18" t="s">
        <v>298</v>
      </c>
      <c r="C61" s="18">
        <f t="shared" ref="C61:L61" si="4">SUM(C55:C60)</f>
        <v>71</v>
      </c>
      <c r="D61" s="18">
        <f t="shared" si="4"/>
        <v>36</v>
      </c>
      <c r="E61" s="18">
        <f t="shared" si="4"/>
        <v>3</v>
      </c>
      <c r="F61" s="18">
        <f t="shared" si="4"/>
        <v>2</v>
      </c>
      <c r="G61" s="18"/>
      <c r="H61" s="18">
        <f>SUM(H55:H60)</f>
        <v>26</v>
      </c>
      <c r="I61" s="18">
        <f>SUM(I55:I60)</f>
        <v>4</v>
      </c>
      <c r="J61" s="18">
        <f t="shared" ref="J61" si="5">SUM(J55:J60)</f>
        <v>4</v>
      </c>
      <c r="K61" s="18">
        <f t="shared" si="4"/>
        <v>0</v>
      </c>
      <c r="L61" s="18">
        <f t="shared" si="4"/>
        <v>0</v>
      </c>
    </row>
    <row r="64" spans="1:17" ht="15" customHeight="1">
      <c r="B64" s="28" t="s">
        <v>299</v>
      </c>
      <c r="D64" s="28" t="s">
        <v>300</v>
      </c>
    </row>
    <row r="65" spans="2:4" ht="15" customHeight="1">
      <c r="B65" s="29" t="s">
        <v>25</v>
      </c>
      <c r="D65" s="30" t="s">
        <v>17</v>
      </c>
    </row>
    <row r="66" spans="2:4" ht="15" customHeight="1">
      <c r="B66" s="31" t="s">
        <v>295</v>
      </c>
      <c r="D66" s="32" t="s">
        <v>18</v>
      </c>
    </row>
    <row r="67" spans="2:4" ht="15" customHeight="1">
      <c r="B67" s="33" t="s">
        <v>294</v>
      </c>
      <c r="D67" s="34" t="s">
        <v>46</v>
      </c>
    </row>
    <row r="68" spans="2:4" ht="15" customHeight="1">
      <c r="B68" s="35" t="s">
        <v>87</v>
      </c>
    </row>
    <row r="69" spans="2:4" ht="15" customHeight="1">
      <c r="B69" s="36" t="s">
        <v>187</v>
      </c>
    </row>
    <row r="70" spans="2:4" ht="15" customHeight="1">
      <c r="B70" s="37" t="s">
        <v>129</v>
      </c>
    </row>
    <row r="71" spans="2:4" ht="15" customHeight="1">
      <c r="B71" s="38" t="s">
        <v>208</v>
      </c>
    </row>
  </sheetData>
  <autoFilter ref="A1:O47" xr:uid="{00000000-0009-0000-0000-000000000000}"/>
  <phoneticPr fontId="15"/>
  <conditionalFormatting sqref="C2:C47">
    <cfRule type="expression" dxfId="38" priority="8">
      <formula>$C2="高"</formula>
    </cfRule>
    <cfRule type="expression" dxfId="37" priority="9">
      <formula>$C2="中"</formula>
    </cfRule>
    <cfRule type="expression" dxfId="36" priority="10">
      <formula>$C2="低"</formula>
    </cfRule>
  </conditionalFormatting>
  <conditionalFormatting sqref="D2:D47">
    <cfRule type="expression" dxfId="35" priority="11">
      <formula>$D2="高"</formula>
    </cfRule>
    <cfRule type="expression" dxfId="34" priority="12">
      <formula>$D2="中"</formula>
    </cfRule>
    <cfRule type="expression" dxfId="33" priority="13">
      <formula>$D2="低"</formula>
    </cfRule>
  </conditionalFormatting>
  <conditionalFormatting sqref="K2:K47">
    <cfRule type="expression" dxfId="32" priority="1">
      <formula>$K2="進行中"</formula>
    </cfRule>
    <cfRule type="expression" dxfId="31" priority="2">
      <formula>$K2="遅延"</formula>
    </cfRule>
    <cfRule type="expression" dxfId="30" priority="3">
      <formula>$K2="完了"</formula>
    </cfRule>
    <cfRule type="expression" dxfId="29" priority="4">
      <formula>$K2="未着手"</formula>
    </cfRule>
    <cfRule type="expression" dxfId="28" priority="5">
      <formula>$K2="停止"</formula>
    </cfRule>
    <cfRule type="expression" dxfId="27" priority="6">
      <formula>$K2="着手"</formula>
    </cfRule>
    <cfRule type="expression" dxfId="26" priority="7">
      <formula>$K2="調査中"</formula>
    </cfRule>
  </conditionalFormatting>
  <dataValidations count="2">
    <dataValidation type="list" allowBlank="1" showErrorMessage="1" errorTitle="入力エラー" error="リストから選択してください" sqref="C2:D47" xr:uid="{3964E2C0-FD45-4931-A143-CBFBEC06AFCF}">
      <formula1>"高,中,低"</formula1>
      <formula2>0</formula2>
    </dataValidation>
    <dataValidation type="list" allowBlank="1" showErrorMessage="1" errorTitle="入力エラー" error="リストから選択してください" sqref="K2:K47" xr:uid="{AB2285AA-59DC-4B23-B555-B94F4376450F}">
      <formula1>"未着手,進行中,着手,調査中,遅延,停止,完了"</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70"/>
  <sheetViews>
    <sheetView zoomScaleNormal="100" workbookViewId="0">
      <pane ySplit="1" topLeftCell="A6" activePane="bottomLeft" state="frozen"/>
      <selection pane="bottomLeft" activeCell="I11" sqref="I11"/>
    </sheetView>
  </sheetViews>
  <sheetFormatPr defaultColWidth="8.5" defaultRowHeight="15" customHeight="1"/>
  <cols>
    <col min="1" max="1" width="4" style="1" customWidth="1"/>
    <col min="2" max="2" width="26" style="1" customWidth="1"/>
    <col min="3" max="4" width="5" style="1" customWidth="1"/>
    <col min="5" max="5" width="14" style="1" customWidth="1"/>
    <col min="6" max="6" width="38" style="1" customWidth="1"/>
    <col min="7" max="7" width="27.875" style="1" customWidth="1"/>
    <col min="8" max="8" width="14" style="1" customWidth="1"/>
    <col min="9" max="11" width="10" style="1" customWidth="1"/>
    <col min="12" max="12" width="28.875" style="1" customWidth="1"/>
    <col min="13" max="14" width="34" style="1" customWidth="1"/>
    <col min="15" max="17" width="30" style="1" customWidth="1"/>
  </cols>
  <sheetData>
    <row r="1" spans="1:17" ht="33">
      <c r="A1" s="2" t="s">
        <v>0</v>
      </c>
      <c r="B1" s="3" t="s">
        <v>1</v>
      </c>
      <c r="C1" s="3" t="s">
        <v>2</v>
      </c>
      <c r="D1" s="3" t="s">
        <v>3</v>
      </c>
      <c r="E1" s="2" t="s">
        <v>4</v>
      </c>
      <c r="F1" s="2" t="s">
        <v>5</v>
      </c>
      <c r="G1" s="47" t="s">
        <v>6</v>
      </c>
      <c r="H1" s="3" t="s">
        <v>7</v>
      </c>
      <c r="I1" s="2" t="s">
        <v>8</v>
      </c>
      <c r="J1" s="46" t="s">
        <v>9</v>
      </c>
      <c r="K1" s="3" t="s">
        <v>10</v>
      </c>
      <c r="L1" s="39" t="s">
        <v>11</v>
      </c>
      <c r="M1" s="39" t="s">
        <v>12</v>
      </c>
      <c r="N1" s="39" t="s">
        <v>13</v>
      </c>
      <c r="O1" s="39" t="s">
        <v>14</v>
      </c>
      <c r="P1" s="39" t="s">
        <v>15</v>
      </c>
      <c r="Q1"/>
    </row>
    <row r="2" spans="1:17" ht="57.75">
      <c r="A2" s="4">
        <f>ROW()-1</f>
        <v>1</v>
      </c>
      <c r="B2" s="5" t="s">
        <v>16</v>
      </c>
      <c r="C2" s="6" t="s">
        <v>17</v>
      </c>
      <c r="D2" s="6" t="s">
        <v>18</v>
      </c>
      <c r="E2" s="5" t="s">
        <v>19</v>
      </c>
      <c r="F2" s="48" t="s">
        <v>20</v>
      </c>
      <c r="G2" s="5" t="s">
        <v>21</v>
      </c>
      <c r="H2" s="7" t="s">
        <v>22</v>
      </c>
      <c r="I2" s="8" t="s">
        <v>23</v>
      </c>
      <c r="J2" s="45" t="s">
        <v>24</v>
      </c>
      <c r="K2" s="6" t="s">
        <v>25</v>
      </c>
      <c r="L2" s="5" t="s">
        <v>301</v>
      </c>
      <c r="M2" s="51" t="s">
        <v>26</v>
      </c>
      <c r="N2" s="52" t="s">
        <v>325</v>
      </c>
      <c r="O2" s="7"/>
      <c r="P2" s="7"/>
      <c r="Q2"/>
    </row>
    <row r="3" spans="1:17" ht="207.75" customHeight="1">
      <c r="A3" s="9">
        <f t="shared" ref="A3:A40" si="0">ROW()-1</f>
        <v>2</v>
      </c>
      <c r="B3" s="10" t="s">
        <v>28</v>
      </c>
      <c r="C3" s="11" t="s">
        <v>17</v>
      </c>
      <c r="D3" s="11" t="s">
        <v>17</v>
      </c>
      <c r="E3" s="10" t="s">
        <v>29</v>
      </c>
      <c r="F3" s="49" t="s">
        <v>30</v>
      </c>
      <c r="G3" s="41" t="s">
        <v>31</v>
      </c>
      <c r="H3" s="10" t="s">
        <v>32</v>
      </c>
      <c r="I3" s="12" t="s">
        <v>33</v>
      </c>
      <c r="J3" s="12"/>
      <c r="K3" s="11" t="s">
        <v>25</v>
      </c>
      <c r="L3" s="40"/>
      <c r="M3" s="40" t="s">
        <v>35</v>
      </c>
      <c r="N3" s="10" t="s">
        <v>36</v>
      </c>
      <c r="O3" s="10" t="s">
        <v>326</v>
      </c>
      <c r="P3" s="10"/>
      <c r="Q3"/>
    </row>
    <row r="4" spans="1:17" ht="64.5" customHeight="1">
      <c r="A4" s="4">
        <f t="shared" si="0"/>
        <v>3</v>
      </c>
      <c r="B4" s="5" t="s">
        <v>37</v>
      </c>
      <c r="C4" s="6" t="s">
        <v>17</v>
      </c>
      <c r="D4" s="6" t="s">
        <v>17</v>
      </c>
      <c r="E4" s="7" t="s">
        <v>38</v>
      </c>
      <c r="F4" s="7" t="s">
        <v>39</v>
      </c>
      <c r="G4" s="7"/>
      <c r="H4" s="5" t="s">
        <v>40</v>
      </c>
      <c r="I4" s="8" t="s">
        <v>41</v>
      </c>
      <c r="J4" s="8" t="s">
        <v>41</v>
      </c>
      <c r="K4" s="6" t="s">
        <v>25</v>
      </c>
      <c r="L4" s="5" t="s">
        <v>303</v>
      </c>
      <c r="M4" s="5" t="s">
        <v>43</v>
      </c>
      <c r="N4" s="5" t="s">
        <v>44</v>
      </c>
      <c r="O4" s="5"/>
      <c r="P4" s="5"/>
      <c r="Q4"/>
    </row>
    <row r="5" spans="1:17" ht="120" customHeight="1">
      <c r="A5" s="9">
        <f t="shared" si="0"/>
        <v>4</v>
      </c>
      <c r="B5" s="10" t="s">
        <v>45</v>
      </c>
      <c r="C5" s="11" t="s">
        <v>18</v>
      </c>
      <c r="D5" s="11" t="s">
        <v>46</v>
      </c>
      <c r="E5" s="10" t="s">
        <v>47</v>
      </c>
      <c r="F5" s="41" t="s">
        <v>48</v>
      </c>
      <c r="G5" s="41" t="s">
        <v>49</v>
      </c>
      <c r="H5" s="10" t="s">
        <v>50</v>
      </c>
      <c r="I5" s="56" t="s">
        <v>51</v>
      </c>
      <c r="J5" s="44" t="s">
        <v>52</v>
      </c>
      <c r="K5" s="11" t="s">
        <v>25</v>
      </c>
      <c r="L5" s="41" t="s">
        <v>304</v>
      </c>
      <c r="M5" s="41" t="s">
        <v>53</v>
      </c>
      <c r="N5" s="55" t="s">
        <v>54</v>
      </c>
      <c r="O5" s="13"/>
      <c r="P5" s="13"/>
      <c r="Q5"/>
    </row>
    <row r="6" spans="1:17" ht="63.75" customHeight="1">
      <c r="A6" s="4">
        <f t="shared" si="0"/>
        <v>5</v>
      </c>
      <c r="B6" s="5" t="s">
        <v>55</v>
      </c>
      <c r="C6" s="6" t="s">
        <v>17</v>
      </c>
      <c r="D6" s="6" t="s">
        <v>17</v>
      </c>
      <c r="E6" s="7" t="s">
        <v>56</v>
      </c>
      <c r="F6" s="5" t="s">
        <v>57</v>
      </c>
      <c r="G6" s="5"/>
      <c r="H6" s="7" t="s">
        <v>58</v>
      </c>
      <c r="I6" s="8" t="s">
        <v>59</v>
      </c>
      <c r="J6" s="8" t="s">
        <v>41</v>
      </c>
      <c r="K6" s="6" t="s">
        <v>25</v>
      </c>
      <c r="L6" s="5" t="s">
        <v>305</v>
      </c>
      <c r="M6" s="5" t="s">
        <v>61</v>
      </c>
      <c r="N6" s="7" t="s">
        <v>62</v>
      </c>
      <c r="O6" s="7"/>
      <c r="P6" s="7"/>
      <c r="Q6"/>
    </row>
    <row r="7" spans="1:17" ht="27.75" customHeight="1">
      <c r="A7" s="9">
        <f t="shared" si="0"/>
        <v>6</v>
      </c>
      <c r="B7" s="10" t="s">
        <v>63</v>
      </c>
      <c r="C7" s="11" t="s">
        <v>17</v>
      </c>
      <c r="D7" s="11" t="s">
        <v>17</v>
      </c>
      <c r="E7" s="13" t="s">
        <v>56</v>
      </c>
      <c r="F7" s="10" t="s">
        <v>64</v>
      </c>
      <c r="G7" s="10"/>
      <c r="H7" s="13" t="s">
        <v>58</v>
      </c>
      <c r="I7" s="12" t="s">
        <v>59</v>
      </c>
      <c r="J7" s="12" t="s">
        <v>41</v>
      </c>
      <c r="K7" s="11" t="s">
        <v>25</v>
      </c>
      <c r="L7" s="13" t="s">
        <v>327</v>
      </c>
      <c r="M7" s="53" t="s">
        <v>66</v>
      </c>
      <c r="N7" s="13" t="s">
        <v>62</v>
      </c>
      <c r="O7" s="13"/>
      <c r="P7" s="13"/>
      <c r="Q7"/>
    </row>
    <row r="8" spans="1:17" ht="51.75" customHeight="1">
      <c r="A8" s="4">
        <f t="shared" si="0"/>
        <v>7</v>
      </c>
      <c r="B8" s="5" t="s">
        <v>67</v>
      </c>
      <c r="C8" s="6" t="s">
        <v>17</v>
      </c>
      <c r="D8" s="6" t="s">
        <v>18</v>
      </c>
      <c r="E8" s="5" t="s">
        <v>68</v>
      </c>
      <c r="F8" s="5" t="s">
        <v>69</v>
      </c>
      <c r="G8" s="5"/>
      <c r="H8" s="5" t="s">
        <v>70</v>
      </c>
      <c r="I8" s="8" t="s">
        <v>71</v>
      </c>
      <c r="J8" s="8"/>
      <c r="K8" s="6" t="s">
        <v>25</v>
      </c>
      <c r="L8" s="7"/>
      <c r="M8" s="7" t="s">
        <v>72</v>
      </c>
      <c r="N8" s="7" t="s">
        <v>73</v>
      </c>
      <c r="O8" s="7"/>
      <c r="P8" s="7"/>
      <c r="Q8"/>
    </row>
    <row r="9" spans="1:17" ht="78" customHeight="1">
      <c r="A9" s="9">
        <f t="shared" si="0"/>
        <v>8</v>
      </c>
      <c r="B9" s="10" t="s">
        <v>74</v>
      </c>
      <c r="C9" s="11" t="s">
        <v>18</v>
      </c>
      <c r="D9" s="11" t="s">
        <v>18</v>
      </c>
      <c r="E9" s="13" t="s">
        <v>75</v>
      </c>
      <c r="F9" s="13" t="s">
        <v>76</v>
      </c>
      <c r="G9" s="50" t="s">
        <v>77</v>
      </c>
      <c r="H9" s="13" t="s">
        <v>78</v>
      </c>
      <c r="I9" s="12" t="s">
        <v>79</v>
      </c>
      <c r="J9" s="12"/>
      <c r="K9" s="11" t="s">
        <v>25</v>
      </c>
      <c r="L9" s="10"/>
      <c r="M9" s="10" t="s">
        <v>80</v>
      </c>
      <c r="N9" s="10" t="s">
        <v>81</v>
      </c>
      <c r="O9" s="10"/>
      <c r="P9" s="10"/>
      <c r="Q9"/>
    </row>
    <row r="10" spans="1:17" ht="39" customHeight="1">
      <c r="A10" s="4">
        <f t="shared" si="0"/>
        <v>9</v>
      </c>
      <c r="B10" s="5" t="s">
        <v>82</v>
      </c>
      <c r="C10" s="6" t="s">
        <v>17</v>
      </c>
      <c r="D10" s="6" t="s">
        <v>46</v>
      </c>
      <c r="E10" s="5" t="s">
        <v>83</v>
      </c>
      <c r="F10" s="5" t="s">
        <v>84</v>
      </c>
      <c r="G10" s="5"/>
      <c r="H10" s="5" t="s">
        <v>85</v>
      </c>
      <c r="I10" s="45" t="s">
        <v>86</v>
      </c>
      <c r="J10" s="8"/>
      <c r="K10" s="6" t="s">
        <v>87</v>
      </c>
      <c r="L10" s="5"/>
      <c r="M10" s="5" t="s">
        <v>88</v>
      </c>
      <c r="N10" s="5" t="s">
        <v>89</v>
      </c>
      <c r="O10" s="5"/>
      <c r="P10" s="5"/>
      <c r="Q10"/>
    </row>
    <row r="11" spans="1:17" ht="60.75" customHeight="1">
      <c r="A11" s="9">
        <f t="shared" si="0"/>
        <v>10</v>
      </c>
      <c r="B11" s="10" t="s">
        <v>90</v>
      </c>
      <c r="C11" s="11" t="s">
        <v>18</v>
      </c>
      <c r="D11" s="11" t="s">
        <v>18</v>
      </c>
      <c r="E11" s="10" t="s">
        <v>91</v>
      </c>
      <c r="F11" s="13" t="s">
        <v>92</v>
      </c>
      <c r="G11" s="13"/>
      <c r="H11" s="10" t="s">
        <v>93</v>
      </c>
      <c r="I11" s="12" t="s">
        <v>94</v>
      </c>
      <c r="J11" s="12"/>
      <c r="K11" s="11" t="s">
        <v>25</v>
      </c>
      <c r="L11" s="10"/>
      <c r="M11" s="10" t="s">
        <v>95</v>
      </c>
      <c r="N11" s="10" t="s">
        <v>96</v>
      </c>
      <c r="O11" s="10"/>
      <c r="P11" s="10"/>
      <c r="Q11"/>
    </row>
    <row r="12" spans="1:17" ht="62.25" customHeight="1">
      <c r="A12" s="4">
        <f t="shared" si="0"/>
        <v>11</v>
      </c>
      <c r="B12" s="5" t="s">
        <v>97</v>
      </c>
      <c r="C12" s="6" t="s">
        <v>18</v>
      </c>
      <c r="D12" s="6" t="s">
        <v>18</v>
      </c>
      <c r="E12" s="5" t="s">
        <v>98</v>
      </c>
      <c r="F12" s="7" t="s">
        <v>99</v>
      </c>
      <c r="G12" s="7"/>
      <c r="H12" s="5" t="s">
        <v>93</v>
      </c>
      <c r="I12" s="8" t="s">
        <v>94</v>
      </c>
      <c r="J12" s="8" t="s">
        <v>41</v>
      </c>
      <c r="K12" s="6" t="s">
        <v>25</v>
      </c>
      <c r="L12" s="5" t="s">
        <v>308</v>
      </c>
      <c r="M12" s="5" t="s">
        <v>101</v>
      </c>
      <c r="N12" s="5" t="s">
        <v>102</v>
      </c>
      <c r="O12" s="5"/>
      <c r="P12" s="5"/>
      <c r="Q12"/>
    </row>
    <row r="13" spans="1:17" ht="87.75" customHeight="1">
      <c r="A13" s="9">
        <f t="shared" si="0"/>
        <v>12</v>
      </c>
      <c r="B13" s="10" t="s">
        <v>103</v>
      </c>
      <c r="C13" s="11" t="s">
        <v>17</v>
      </c>
      <c r="D13" s="11" t="s">
        <v>17</v>
      </c>
      <c r="E13" s="10" t="s">
        <v>104</v>
      </c>
      <c r="F13" s="10" t="s">
        <v>105</v>
      </c>
      <c r="G13" s="10"/>
      <c r="H13" s="10" t="s">
        <v>106</v>
      </c>
      <c r="I13" s="12" t="s">
        <v>71</v>
      </c>
      <c r="J13" s="12" t="s">
        <v>71</v>
      </c>
      <c r="K13" s="11" t="s">
        <v>25</v>
      </c>
      <c r="L13" s="10" t="s">
        <v>309</v>
      </c>
      <c r="M13" s="10" t="s">
        <v>107</v>
      </c>
      <c r="N13" s="10" t="s">
        <v>108</v>
      </c>
      <c r="O13" s="10"/>
      <c r="P13" s="10"/>
      <c r="Q13"/>
    </row>
    <row r="14" spans="1:17" ht="27.75" customHeight="1">
      <c r="A14" s="4">
        <f t="shared" si="0"/>
        <v>13</v>
      </c>
      <c r="B14" s="5" t="s">
        <v>109</v>
      </c>
      <c r="C14" s="6" t="s">
        <v>17</v>
      </c>
      <c r="D14" s="6" t="s">
        <v>17</v>
      </c>
      <c r="E14" s="5" t="s">
        <v>110</v>
      </c>
      <c r="F14" s="5" t="s">
        <v>111</v>
      </c>
      <c r="G14" s="5"/>
      <c r="H14" s="5" t="s">
        <v>32</v>
      </c>
      <c r="I14" s="8" t="s">
        <v>94</v>
      </c>
      <c r="J14" s="8"/>
      <c r="K14" s="6" t="s">
        <v>25</v>
      </c>
      <c r="L14" s="7"/>
      <c r="M14" s="7" t="s">
        <v>112</v>
      </c>
      <c r="N14" s="5" t="s">
        <v>113</v>
      </c>
      <c r="O14" s="5"/>
      <c r="P14" s="5"/>
      <c r="Q14"/>
    </row>
    <row r="15" spans="1:17" ht="84" customHeight="1">
      <c r="A15" s="9">
        <f t="shared" si="0"/>
        <v>14</v>
      </c>
      <c r="B15" s="13" t="s">
        <v>114</v>
      </c>
      <c r="C15" s="11" t="s">
        <v>18</v>
      </c>
      <c r="D15" s="11" t="s">
        <v>46</v>
      </c>
      <c r="E15" s="13" t="s">
        <v>115</v>
      </c>
      <c r="F15" s="10" t="s">
        <v>116</v>
      </c>
      <c r="G15" s="10"/>
      <c r="H15" s="10" t="s">
        <v>117</v>
      </c>
      <c r="I15" s="12" t="s">
        <v>34</v>
      </c>
      <c r="J15" s="12"/>
      <c r="K15" s="11" t="s">
        <v>25</v>
      </c>
      <c r="L15" s="10"/>
      <c r="M15" s="10" t="s">
        <v>118</v>
      </c>
      <c r="N15" s="10" t="s">
        <v>119</v>
      </c>
      <c r="O15" s="10"/>
      <c r="P15" s="10"/>
      <c r="Q15"/>
    </row>
    <row r="16" spans="1:17" ht="72" customHeight="1">
      <c r="A16" s="4">
        <f t="shared" si="0"/>
        <v>15</v>
      </c>
      <c r="B16" s="7" t="s">
        <v>120</v>
      </c>
      <c r="C16" s="6" t="s">
        <v>17</v>
      </c>
      <c r="D16" s="6" t="s">
        <v>17</v>
      </c>
      <c r="E16" s="7" t="s">
        <v>121</v>
      </c>
      <c r="F16" s="5" t="s">
        <v>122</v>
      </c>
      <c r="G16" s="5"/>
      <c r="H16" s="7" t="s">
        <v>123</v>
      </c>
      <c r="I16" s="8" t="s">
        <v>71</v>
      </c>
      <c r="J16" s="8"/>
      <c r="K16" s="6" t="s">
        <v>25</v>
      </c>
      <c r="L16" s="5"/>
      <c r="M16" s="5" t="s">
        <v>124</v>
      </c>
      <c r="N16" s="5" t="s">
        <v>125</v>
      </c>
      <c r="O16" s="5"/>
      <c r="P16" s="5"/>
      <c r="Q16"/>
    </row>
    <row r="17" spans="1:17" ht="27.75" customHeight="1">
      <c r="A17" s="9">
        <f t="shared" si="0"/>
        <v>16</v>
      </c>
      <c r="B17" s="10" t="s">
        <v>126</v>
      </c>
      <c r="C17" s="11" t="s">
        <v>18</v>
      </c>
      <c r="D17" s="11" t="s">
        <v>18</v>
      </c>
      <c r="E17" s="10" t="s">
        <v>127</v>
      </c>
      <c r="F17" s="10" t="s">
        <v>128</v>
      </c>
      <c r="G17" s="10"/>
      <c r="H17" s="13" t="s">
        <v>58</v>
      </c>
      <c r="I17" s="12" t="s">
        <v>71</v>
      </c>
      <c r="J17" s="12"/>
      <c r="K17" s="11" t="s">
        <v>129</v>
      </c>
      <c r="L17" s="13"/>
      <c r="M17" s="13" t="s">
        <v>130</v>
      </c>
      <c r="N17" s="10" t="s">
        <v>131</v>
      </c>
      <c r="O17" s="10"/>
      <c r="P17" s="10"/>
      <c r="Q17"/>
    </row>
    <row r="18" spans="1:17" ht="27.75" customHeight="1">
      <c r="A18" s="4">
        <f t="shared" si="0"/>
        <v>17</v>
      </c>
      <c r="B18" s="5" t="s">
        <v>132</v>
      </c>
      <c r="C18" s="6" t="s">
        <v>18</v>
      </c>
      <c r="D18" s="6" t="s">
        <v>18</v>
      </c>
      <c r="E18" s="5" t="s">
        <v>133</v>
      </c>
      <c r="F18" s="5" t="s">
        <v>134</v>
      </c>
      <c r="G18" s="5"/>
      <c r="H18" s="7" t="s">
        <v>58</v>
      </c>
      <c r="I18" s="8" t="s">
        <v>135</v>
      </c>
      <c r="J18" s="8"/>
      <c r="K18" s="6" t="s">
        <v>87</v>
      </c>
      <c r="L18" s="5"/>
      <c r="M18" s="5" t="s">
        <v>136</v>
      </c>
      <c r="N18" s="7"/>
      <c r="O18" s="7"/>
      <c r="P18" s="7"/>
      <c r="Q18"/>
    </row>
    <row r="19" spans="1:17" ht="171" customHeight="1">
      <c r="A19" s="9">
        <f t="shared" si="0"/>
        <v>18</v>
      </c>
      <c r="B19" s="13" t="s">
        <v>137</v>
      </c>
      <c r="C19" s="11" t="s">
        <v>17</v>
      </c>
      <c r="D19" s="11" t="s">
        <v>18</v>
      </c>
      <c r="E19" s="10" t="s">
        <v>138</v>
      </c>
      <c r="F19" s="53" t="s">
        <v>139</v>
      </c>
      <c r="G19" s="13"/>
      <c r="H19" s="53" t="s">
        <v>140</v>
      </c>
      <c r="I19" s="12" t="s">
        <v>214</v>
      </c>
      <c r="J19" s="12" t="s">
        <v>71</v>
      </c>
      <c r="K19" s="11" t="s">
        <v>25</v>
      </c>
      <c r="L19" s="10" t="s">
        <v>311</v>
      </c>
      <c r="M19" s="54" t="s">
        <v>142</v>
      </c>
      <c r="N19" s="13" t="s">
        <v>328</v>
      </c>
      <c r="O19" s="66"/>
      <c r="P19" s="13"/>
      <c r="Q19"/>
    </row>
    <row r="20" spans="1:17" ht="79.5" customHeight="1">
      <c r="A20" s="4">
        <f t="shared" si="0"/>
        <v>19</v>
      </c>
      <c r="B20" s="7" t="s">
        <v>144</v>
      </c>
      <c r="C20" s="6" t="s">
        <v>17</v>
      </c>
      <c r="D20" s="6" t="s">
        <v>17</v>
      </c>
      <c r="E20" s="7" t="s">
        <v>145</v>
      </c>
      <c r="F20" s="5" t="s">
        <v>146</v>
      </c>
      <c r="G20" s="5"/>
      <c r="H20" s="5" t="s">
        <v>32</v>
      </c>
      <c r="I20" s="8" t="s">
        <v>135</v>
      </c>
      <c r="J20" s="8"/>
      <c r="K20" s="6" t="s">
        <v>25</v>
      </c>
      <c r="L20" s="7"/>
      <c r="M20" s="7"/>
      <c r="N20" s="7"/>
      <c r="O20" s="7"/>
      <c r="P20" s="7"/>
      <c r="Q20"/>
    </row>
    <row r="21" spans="1:17" ht="158.25" customHeight="1">
      <c r="A21" s="9">
        <f t="shared" si="0"/>
        <v>20</v>
      </c>
      <c r="B21" s="10" t="s">
        <v>148</v>
      </c>
      <c r="C21" s="11" t="s">
        <v>18</v>
      </c>
      <c r="D21" s="11" t="s">
        <v>18</v>
      </c>
      <c r="E21" s="13" t="s">
        <v>149</v>
      </c>
      <c r="F21" s="13" t="s">
        <v>150</v>
      </c>
      <c r="G21" s="13" t="s">
        <v>151</v>
      </c>
      <c r="H21" s="10" t="s">
        <v>32</v>
      </c>
      <c r="I21" s="44" t="s">
        <v>152</v>
      </c>
      <c r="J21" s="12" t="s">
        <v>221</v>
      </c>
      <c r="K21" s="11" t="s">
        <v>87</v>
      </c>
      <c r="L21" s="13" t="s">
        <v>329</v>
      </c>
      <c r="M21" s="49" t="s">
        <v>154</v>
      </c>
      <c r="N21" s="10" t="s">
        <v>155</v>
      </c>
      <c r="O21" s="10"/>
      <c r="P21" s="10"/>
      <c r="Q21"/>
    </row>
    <row r="22" spans="1:17" ht="110.25" customHeight="1">
      <c r="A22" s="4">
        <f t="shared" si="0"/>
        <v>21</v>
      </c>
      <c r="B22" s="5" t="s">
        <v>156</v>
      </c>
      <c r="C22" s="6" t="s">
        <v>17</v>
      </c>
      <c r="D22" s="6" t="s">
        <v>46</v>
      </c>
      <c r="E22" s="5" t="s">
        <v>157</v>
      </c>
      <c r="F22" s="5" t="s">
        <v>158</v>
      </c>
      <c r="G22" s="5"/>
      <c r="H22" s="7" t="s">
        <v>159</v>
      </c>
      <c r="I22" s="8" t="s">
        <v>160</v>
      </c>
      <c r="J22" s="8"/>
      <c r="K22" s="6" t="s">
        <v>87</v>
      </c>
      <c r="L22" s="5"/>
      <c r="M22" s="5" t="s">
        <v>161</v>
      </c>
      <c r="N22" s="5" t="s">
        <v>162</v>
      </c>
      <c r="O22" s="5"/>
      <c r="P22" s="5"/>
      <c r="Q22"/>
    </row>
    <row r="23" spans="1:17" ht="141.75" customHeight="1">
      <c r="A23" s="9">
        <f t="shared" si="0"/>
        <v>22</v>
      </c>
      <c r="B23" s="10" t="s">
        <v>163</v>
      </c>
      <c r="C23" s="11" t="s">
        <v>46</v>
      </c>
      <c r="D23" s="11" t="s">
        <v>46</v>
      </c>
      <c r="E23" s="10" t="s">
        <v>163</v>
      </c>
      <c r="F23" s="10" t="s">
        <v>164</v>
      </c>
      <c r="G23" s="10"/>
      <c r="H23" s="13" t="s">
        <v>159</v>
      </c>
      <c r="I23" s="12" t="s">
        <v>86</v>
      </c>
      <c r="J23" s="12"/>
      <c r="K23" s="11" t="s">
        <v>87</v>
      </c>
      <c r="L23" s="13"/>
      <c r="M23" s="13"/>
      <c r="N23" s="10" t="s">
        <v>330</v>
      </c>
      <c r="O23" s="10"/>
      <c r="P23" s="10"/>
      <c r="Q23"/>
    </row>
    <row r="24" spans="1:17" ht="75" customHeight="1">
      <c r="A24" s="4">
        <f t="shared" si="0"/>
        <v>23</v>
      </c>
      <c r="B24" s="7" t="s">
        <v>166</v>
      </c>
      <c r="C24" s="6" t="s">
        <v>17</v>
      </c>
      <c r="D24" s="6" t="s">
        <v>46</v>
      </c>
      <c r="E24" s="7" t="s">
        <v>166</v>
      </c>
      <c r="F24" s="7" t="s">
        <v>167</v>
      </c>
      <c r="G24" s="7"/>
      <c r="H24" s="5" t="s">
        <v>168</v>
      </c>
      <c r="I24" s="8" t="s">
        <v>33</v>
      </c>
      <c r="J24" s="8"/>
      <c r="K24" s="6" t="s">
        <v>25</v>
      </c>
      <c r="L24" s="5"/>
      <c r="M24" s="51" t="s">
        <v>169</v>
      </c>
      <c r="N24" s="5" t="s">
        <v>170</v>
      </c>
      <c r="O24" s="5"/>
      <c r="P24" s="5"/>
      <c r="Q24"/>
    </row>
    <row r="25" spans="1:17" ht="27.75" customHeight="1">
      <c r="A25" s="9">
        <f t="shared" si="0"/>
        <v>24</v>
      </c>
      <c r="B25" s="10" t="s">
        <v>171</v>
      </c>
      <c r="C25" s="11" t="s">
        <v>17</v>
      </c>
      <c r="D25" s="11" t="s">
        <v>17</v>
      </c>
      <c r="E25" s="10" t="s">
        <v>172</v>
      </c>
      <c r="F25" s="10" t="s">
        <v>173</v>
      </c>
      <c r="G25" s="10"/>
      <c r="H25" s="10" t="s">
        <v>174</v>
      </c>
      <c r="I25" s="12" t="s">
        <v>34</v>
      </c>
      <c r="J25" s="12"/>
      <c r="K25" s="11" t="s">
        <v>187</v>
      </c>
      <c r="L25" s="10"/>
      <c r="M25" s="10" t="s">
        <v>175</v>
      </c>
      <c r="N25" s="13" t="s">
        <v>176</v>
      </c>
      <c r="O25" s="13"/>
      <c r="P25" s="13"/>
      <c r="Q25"/>
    </row>
    <row r="26" spans="1:17" ht="69.75" customHeight="1">
      <c r="A26" s="4">
        <f t="shared" si="0"/>
        <v>25</v>
      </c>
      <c r="B26" s="5" t="s">
        <v>177</v>
      </c>
      <c r="C26" s="6" t="s">
        <v>18</v>
      </c>
      <c r="D26" s="6" t="s">
        <v>46</v>
      </c>
      <c r="E26" s="5" t="s">
        <v>178</v>
      </c>
      <c r="F26" s="5" t="s">
        <v>179</v>
      </c>
      <c r="G26" s="5"/>
      <c r="H26" s="5" t="s">
        <v>117</v>
      </c>
      <c r="I26" s="8" t="s">
        <v>180</v>
      </c>
      <c r="J26" s="8" t="s">
        <v>180</v>
      </c>
      <c r="K26" s="6" t="s">
        <v>25</v>
      </c>
      <c r="L26" s="5"/>
      <c r="M26" s="5" t="s">
        <v>181</v>
      </c>
      <c r="N26" s="5" t="s">
        <v>182</v>
      </c>
      <c r="O26" s="5"/>
      <c r="P26" s="5"/>
      <c r="Q26"/>
    </row>
    <row r="27" spans="1:17" ht="60">
      <c r="A27" s="9">
        <f t="shared" si="0"/>
        <v>26</v>
      </c>
      <c r="B27" s="10" t="s">
        <v>183</v>
      </c>
      <c r="C27" s="11" t="s">
        <v>17</v>
      </c>
      <c r="D27" s="11" t="s">
        <v>46</v>
      </c>
      <c r="E27" s="10" t="s">
        <v>184</v>
      </c>
      <c r="F27" s="10" t="s">
        <v>185</v>
      </c>
      <c r="G27" s="10"/>
      <c r="H27" s="10" t="s">
        <v>106</v>
      </c>
      <c r="I27" s="12" t="s">
        <v>186</v>
      </c>
      <c r="J27" s="12"/>
      <c r="K27" s="11" t="s">
        <v>187</v>
      </c>
      <c r="L27" s="10"/>
      <c r="M27" s="10" t="s">
        <v>188</v>
      </c>
      <c r="N27" s="10" t="s">
        <v>189</v>
      </c>
      <c r="O27" s="10"/>
      <c r="P27" s="10"/>
      <c r="Q27"/>
    </row>
    <row r="28" spans="1:17" ht="69" customHeight="1">
      <c r="A28" s="4">
        <f t="shared" si="0"/>
        <v>27</v>
      </c>
      <c r="B28" s="7" t="s">
        <v>190</v>
      </c>
      <c r="C28" s="6" t="s">
        <v>46</v>
      </c>
      <c r="D28" s="6" t="s">
        <v>46</v>
      </c>
      <c r="E28" s="5" t="s">
        <v>191</v>
      </c>
      <c r="F28" s="5" t="s">
        <v>192</v>
      </c>
      <c r="G28" s="5"/>
      <c r="H28" s="5" t="s">
        <v>193</v>
      </c>
      <c r="I28" s="8" t="s">
        <v>194</v>
      </c>
      <c r="J28" s="8"/>
      <c r="K28" s="6" t="s">
        <v>87</v>
      </c>
      <c r="L28" s="5"/>
      <c r="M28" s="5" t="s">
        <v>195</v>
      </c>
      <c r="N28" s="7" t="s">
        <v>196</v>
      </c>
      <c r="O28" s="7"/>
      <c r="P28" s="7"/>
      <c r="Q28"/>
    </row>
    <row r="29" spans="1:17" ht="51.75" customHeight="1">
      <c r="A29" s="9">
        <f t="shared" si="0"/>
        <v>28</v>
      </c>
      <c r="B29" s="10" t="s">
        <v>197</v>
      </c>
      <c r="C29" s="11" t="s">
        <v>46</v>
      </c>
      <c r="D29" s="11" t="s">
        <v>46</v>
      </c>
      <c r="E29" s="10" t="s">
        <v>198</v>
      </c>
      <c r="F29" s="10" t="s">
        <v>199</v>
      </c>
      <c r="G29" s="10"/>
      <c r="H29" s="10" t="s">
        <v>200</v>
      </c>
      <c r="I29" s="12" t="s">
        <v>201</v>
      </c>
      <c r="J29" s="44" t="s">
        <v>24</v>
      </c>
      <c r="K29" s="11" t="s">
        <v>87</v>
      </c>
      <c r="L29" s="10"/>
      <c r="M29" s="10" t="s">
        <v>202</v>
      </c>
      <c r="N29" s="10" t="s">
        <v>331</v>
      </c>
      <c r="O29" s="10"/>
      <c r="P29" s="10"/>
      <c r="Q29"/>
    </row>
    <row r="30" spans="1:17" ht="129.75" customHeight="1">
      <c r="A30" s="4">
        <f t="shared" si="0"/>
        <v>29</v>
      </c>
      <c r="B30" s="7" t="s">
        <v>204</v>
      </c>
      <c r="C30" s="6" t="s">
        <v>17</v>
      </c>
      <c r="D30" s="6" t="s">
        <v>46</v>
      </c>
      <c r="E30" s="5" t="s">
        <v>205</v>
      </c>
      <c r="F30" s="7" t="s">
        <v>206</v>
      </c>
      <c r="G30" s="7"/>
      <c r="H30" s="5" t="s">
        <v>207</v>
      </c>
      <c r="I30" s="8" t="s">
        <v>201</v>
      </c>
      <c r="J30" s="8" t="s">
        <v>180</v>
      </c>
      <c r="K30" s="6" t="s">
        <v>208</v>
      </c>
      <c r="L30" s="5"/>
      <c r="M30" s="5" t="s">
        <v>209</v>
      </c>
      <c r="N30" s="7" t="s">
        <v>332</v>
      </c>
      <c r="O30" s="7"/>
      <c r="P30" s="7"/>
      <c r="Q30"/>
    </row>
    <row r="31" spans="1:17" ht="39" customHeight="1">
      <c r="A31" s="9">
        <f t="shared" si="0"/>
        <v>30</v>
      </c>
      <c r="B31" s="13" t="s">
        <v>211</v>
      </c>
      <c r="C31" s="11" t="s">
        <v>17</v>
      </c>
      <c r="D31" s="11" t="s">
        <v>18</v>
      </c>
      <c r="E31" s="13" t="s">
        <v>212</v>
      </c>
      <c r="F31" s="13" t="s">
        <v>213</v>
      </c>
      <c r="G31" s="13"/>
      <c r="H31" s="13" t="s">
        <v>58</v>
      </c>
      <c r="I31" s="12" t="s">
        <v>214</v>
      </c>
      <c r="J31" s="12" t="s">
        <v>71</v>
      </c>
      <c r="K31" s="11" t="s">
        <v>25</v>
      </c>
      <c r="L31" s="13" t="s">
        <v>320</v>
      </c>
      <c r="M31" s="13" t="s">
        <v>215</v>
      </c>
      <c r="N31" s="13" t="s">
        <v>216</v>
      </c>
      <c r="O31" s="13"/>
      <c r="P31" s="13"/>
      <c r="Q31"/>
    </row>
    <row r="32" spans="1:17" ht="84">
      <c r="A32" s="4">
        <f t="shared" si="0"/>
        <v>31</v>
      </c>
      <c r="B32" s="5" t="s">
        <v>217</v>
      </c>
      <c r="C32" s="6" t="s">
        <v>46</v>
      </c>
      <c r="D32" s="6" t="s">
        <v>46</v>
      </c>
      <c r="E32" s="5" t="s">
        <v>218</v>
      </c>
      <c r="F32" s="5" t="s">
        <v>219</v>
      </c>
      <c r="G32" s="5"/>
      <c r="H32" s="5" t="s">
        <v>220</v>
      </c>
      <c r="I32" s="45" t="s">
        <v>152</v>
      </c>
      <c r="J32" s="8" t="s">
        <v>221</v>
      </c>
      <c r="K32" s="6" t="s">
        <v>87</v>
      </c>
      <c r="L32" s="5" t="s">
        <v>87</v>
      </c>
      <c r="M32" s="5" t="s">
        <v>222</v>
      </c>
      <c r="N32" s="7"/>
      <c r="O32" s="7"/>
      <c r="P32" s="7"/>
      <c r="Q32"/>
    </row>
    <row r="33" spans="1:17" ht="27.75" customHeight="1">
      <c r="A33" s="9">
        <f t="shared" si="0"/>
        <v>32</v>
      </c>
      <c r="B33" s="13" t="s">
        <v>223</v>
      </c>
      <c r="C33" s="11" t="s">
        <v>18</v>
      </c>
      <c r="D33" s="11" t="s">
        <v>18</v>
      </c>
      <c r="E33" s="13"/>
      <c r="F33" s="13"/>
      <c r="G33" s="13"/>
      <c r="H33" s="13" t="s">
        <v>159</v>
      </c>
      <c r="I33" s="12" t="s">
        <v>224</v>
      </c>
      <c r="J33" s="12"/>
      <c r="K33" s="11" t="s">
        <v>87</v>
      </c>
      <c r="L33" s="13"/>
      <c r="M33" s="13"/>
      <c r="N33" s="13" t="s">
        <v>225</v>
      </c>
      <c r="O33" s="13"/>
      <c r="P33" s="13"/>
      <c r="Q33"/>
    </row>
    <row r="34" spans="1:17" ht="93.75" customHeight="1">
      <c r="A34" s="4">
        <f t="shared" si="0"/>
        <v>33</v>
      </c>
      <c r="B34" s="7" t="s">
        <v>226</v>
      </c>
      <c r="C34" s="6" t="s">
        <v>46</v>
      </c>
      <c r="D34" s="6" t="s">
        <v>46</v>
      </c>
      <c r="E34" s="5" t="s">
        <v>227</v>
      </c>
      <c r="F34" s="7" t="s">
        <v>228</v>
      </c>
      <c r="G34" s="7"/>
      <c r="H34" s="7" t="s">
        <v>229</v>
      </c>
      <c r="I34" s="8" t="s">
        <v>230</v>
      </c>
      <c r="J34" s="45" t="s">
        <v>221</v>
      </c>
      <c r="K34" s="6" t="s">
        <v>87</v>
      </c>
      <c r="L34" s="5" t="s">
        <v>322</v>
      </c>
      <c r="M34" s="5" t="s">
        <v>232</v>
      </c>
      <c r="N34" s="5" t="s">
        <v>233</v>
      </c>
      <c r="O34" s="5"/>
      <c r="P34" s="5"/>
      <c r="Q34"/>
    </row>
    <row r="35" spans="1:17" ht="39.75" customHeight="1">
      <c r="A35" s="9">
        <f t="shared" si="0"/>
        <v>34</v>
      </c>
      <c r="B35" s="10" t="s">
        <v>234</v>
      </c>
      <c r="C35" s="11" t="s">
        <v>46</v>
      </c>
      <c r="D35" s="11" t="s">
        <v>46</v>
      </c>
      <c r="E35" s="10" t="s">
        <v>235</v>
      </c>
      <c r="F35" s="13"/>
      <c r="G35" s="13"/>
      <c r="H35" s="10" t="s">
        <v>236</v>
      </c>
      <c r="I35" s="12" t="s">
        <v>33</v>
      </c>
      <c r="J35" s="12"/>
      <c r="K35" s="11" t="s">
        <v>87</v>
      </c>
      <c r="L35" s="13"/>
      <c r="M35" s="13"/>
      <c r="N35" s="13"/>
      <c r="O35" s="13"/>
      <c r="P35" s="13"/>
      <c r="Q35"/>
    </row>
    <row r="36" spans="1:17" ht="54.75" customHeight="1">
      <c r="A36" s="4">
        <f t="shared" si="0"/>
        <v>35</v>
      </c>
      <c r="B36" s="5" t="s">
        <v>237</v>
      </c>
      <c r="C36" s="6" t="s">
        <v>18</v>
      </c>
      <c r="D36" s="6" t="s">
        <v>18</v>
      </c>
      <c r="E36" s="5" t="s">
        <v>238</v>
      </c>
      <c r="F36" s="5" t="s">
        <v>239</v>
      </c>
      <c r="G36" s="5"/>
      <c r="H36" s="5" t="s">
        <v>240</v>
      </c>
      <c r="I36" s="8" t="s">
        <v>135</v>
      </c>
      <c r="J36" s="8"/>
      <c r="K36" s="6" t="s">
        <v>87</v>
      </c>
      <c r="L36" s="7"/>
      <c r="M36" s="7"/>
      <c r="N36" s="5" t="s">
        <v>241</v>
      </c>
      <c r="O36" s="5"/>
      <c r="P36" s="5"/>
      <c r="Q36"/>
    </row>
    <row r="37" spans="1:17" ht="138" customHeight="1">
      <c r="A37" s="9">
        <f t="shared" si="0"/>
        <v>36</v>
      </c>
      <c r="B37" s="10" t="s">
        <v>242</v>
      </c>
      <c r="C37" s="11" t="s">
        <v>17</v>
      </c>
      <c r="D37" s="11" t="s">
        <v>46</v>
      </c>
      <c r="E37" s="10" t="s">
        <v>243</v>
      </c>
      <c r="F37" s="10" t="s">
        <v>244</v>
      </c>
      <c r="G37" s="10"/>
      <c r="H37" s="10" t="s">
        <v>245</v>
      </c>
      <c r="I37" s="12" t="s">
        <v>34</v>
      </c>
      <c r="J37" s="12"/>
      <c r="K37" s="11" t="s">
        <v>87</v>
      </c>
      <c r="L37" s="10"/>
      <c r="M37" s="10" t="s">
        <v>246</v>
      </c>
      <c r="N37" s="13" t="s">
        <v>247</v>
      </c>
      <c r="O37" s="13"/>
      <c r="P37" s="13"/>
      <c r="Q37"/>
    </row>
    <row r="38" spans="1:17" ht="93" customHeight="1">
      <c r="A38" s="9">
        <f t="shared" si="0"/>
        <v>37</v>
      </c>
      <c r="B38" s="5" t="s">
        <v>248</v>
      </c>
      <c r="C38" s="6" t="s">
        <v>17</v>
      </c>
      <c r="D38" s="6" t="s">
        <v>17</v>
      </c>
      <c r="E38" s="5" t="s">
        <v>249</v>
      </c>
      <c r="F38" s="5" t="s">
        <v>250</v>
      </c>
      <c r="G38" s="5"/>
      <c r="H38" s="5" t="s">
        <v>245</v>
      </c>
      <c r="I38" s="8"/>
      <c r="J38" s="45"/>
      <c r="K38" s="6" t="s">
        <v>87</v>
      </c>
      <c r="L38" s="5"/>
      <c r="M38" s="5"/>
      <c r="N38" s="7"/>
      <c r="O38" s="7"/>
      <c r="P38" s="7"/>
      <c r="Q38"/>
    </row>
    <row r="39" spans="1:17" ht="93" customHeight="1">
      <c r="A39" s="9">
        <f t="shared" si="0"/>
        <v>38</v>
      </c>
      <c r="B39" s="57" t="s">
        <v>255</v>
      </c>
      <c r="C39" s="58" t="s">
        <v>17</v>
      </c>
      <c r="D39" s="58" t="s">
        <v>46</v>
      </c>
      <c r="E39" s="57" t="s">
        <v>252</v>
      </c>
      <c r="F39" s="57" t="s">
        <v>256</v>
      </c>
      <c r="G39" s="57"/>
      <c r="H39" s="57" t="s">
        <v>245</v>
      </c>
      <c r="I39" s="59" t="s">
        <v>94</v>
      </c>
      <c r="J39" s="60" t="s">
        <v>221</v>
      </c>
      <c r="K39" s="58" t="s">
        <v>87</v>
      </c>
      <c r="L39" s="57" t="s">
        <v>333</v>
      </c>
      <c r="M39" s="62" t="s">
        <v>258</v>
      </c>
      <c r="N39" s="61" t="s">
        <v>259</v>
      </c>
      <c r="O39" s="61"/>
      <c r="P39" s="61"/>
      <c r="Q39"/>
    </row>
    <row r="40" spans="1:17" ht="174.75" customHeight="1">
      <c r="A40" s="9">
        <f t="shared" si="0"/>
        <v>39</v>
      </c>
      <c r="B40" s="5" t="s">
        <v>260</v>
      </c>
      <c r="C40" s="6" t="s">
        <v>17</v>
      </c>
      <c r="D40" s="6" t="s">
        <v>17</v>
      </c>
      <c r="E40" s="5"/>
      <c r="F40" s="5" t="s">
        <v>261</v>
      </c>
      <c r="G40" s="5"/>
      <c r="H40" s="5" t="s">
        <v>262</v>
      </c>
      <c r="I40" s="8"/>
      <c r="J40" s="45"/>
      <c r="K40" s="6" t="s">
        <v>87</v>
      </c>
      <c r="L40" s="5"/>
      <c r="M40" s="65" t="s">
        <v>334</v>
      </c>
      <c r="N40" s="7"/>
      <c r="O40" s="7"/>
      <c r="P40" s="7"/>
      <c r="Q40"/>
    </row>
    <row r="41" spans="1:17" ht="18" customHeight="1">
      <c r="A41" s="14" t="s">
        <v>266</v>
      </c>
      <c r="B41" s="15"/>
      <c r="C41" s="15"/>
      <c r="D41" s="15"/>
      <c r="E41" s="15"/>
      <c r="F41" s="15"/>
      <c r="G41" s="15"/>
      <c r="H41" s="15"/>
      <c r="I41" s="15"/>
      <c r="J41" s="15"/>
      <c r="K41" s="15"/>
      <c r="L41" s="15"/>
      <c r="M41" s="15"/>
      <c r="N41" s="15"/>
      <c r="O41" s="15"/>
      <c r="P41" s="15"/>
      <c r="Q41"/>
    </row>
    <row r="42" spans="1:17" ht="27.75" customHeight="1">
      <c r="A42" s="4">
        <f>ROW()-2</f>
        <v>40</v>
      </c>
      <c r="B42" s="5" t="s">
        <v>267</v>
      </c>
      <c r="C42" s="6" t="s">
        <v>18</v>
      </c>
      <c r="D42" s="6" t="s">
        <v>18</v>
      </c>
      <c r="E42" s="7" t="s">
        <v>268</v>
      </c>
      <c r="F42" s="7"/>
      <c r="G42" s="7"/>
      <c r="H42" s="7"/>
      <c r="I42" s="45" t="s">
        <v>269</v>
      </c>
      <c r="J42" s="45" t="s">
        <v>269</v>
      </c>
      <c r="K42" s="6" t="s">
        <v>25</v>
      </c>
      <c r="L42" s="7"/>
      <c r="M42" s="7"/>
      <c r="N42" s="7" t="s">
        <v>270</v>
      </c>
      <c r="O42" s="7"/>
      <c r="P42" s="7"/>
      <c r="Q42"/>
    </row>
    <row r="43" spans="1:17" ht="60.75" customHeight="1">
      <c r="A43" s="9">
        <f t="shared" ref="A43:A46" si="1">ROW()-2</f>
        <v>41</v>
      </c>
      <c r="B43" s="13" t="s">
        <v>271</v>
      </c>
      <c r="C43" s="11" t="s">
        <v>18</v>
      </c>
      <c r="D43" s="11" t="s">
        <v>46</v>
      </c>
      <c r="E43" s="13" t="s">
        <v>272</v>
      </c>
      <c r="F43" s="13" t="s">
        <v>273</v>
      </c>
      <c r="G43" s="13"/>
      <c r="H43" s="13" t="s">
        <v>274</v>
      </c>
      <c r="I43" s="44" t="s">
        <v>269</v>
      </c>
      <c r="J43" s="44" t="s">
        <v>269</v>
      </c>
      <c r="K43" s="11" t="s">
        <v>25</v>
      </c>
      <c r="L43" s="10"/>
      <c r="M43" s="10" t="s">
        <v>275</v>
      </c>
      <c r="N43" s="13"/>
      <c r="O43" s="13"/>
      <c r="P43" s="13"/>
      <c r="Q43"/>
    </row>
    <row r="44" spans="1:17" ht="136.5" customHeight="1">
      <c r="A44" s="4">
        <f t="shared" si="1"/>
        <v>42</v>
      </c>
      <c r="B44" s="5" t="s">
        <v>276</v>
      </c>
      <c r="C44" s="6" t="s">
        <v>46</v>
      </c>
      <c r="D44" s="6" t="s">
        <v>46</v>
      </c>
      <c r="E44" s="5" t="s">
        <v>277</v>
      </c>
      <c r="F44" s="7"/>
      <c r="G44" s="7"/>
      <c r="H44" s="7"/>
      <c r="I44" s="45" t="s">
        <v>269</v>
      </c>
      <c r="J44" s="45" t="s">
        <v>269</v>
      </c>
      <c r="K44" s="6" t="s">
        <v>187</v>
      </c>
      <c r="L44" s="5"/>
      <c r="M44" s="5" t="s">
        <v>278</v>
      </c>
      <c r="N44" s="7"/>
      <c r="O44" s="7"/>
      <c r="P44" s="7"/>
      <c r="Q44"/>
    </row>
    <row r="45" spans="1:17" ht="60">
      <c r="A45" s="9">
        <f t="shared" si="1"/>
        <v>43</v>
      </c>
      <c r="B45" s="10" t="s">
        <v>279</v>
      </c>
      <c r="C45" s="11" t="s">
        <v>46</v>
      </c>
      <c r="D45" s="11" t="s">
        <v>46</v>
      </c>
      <c r="E45" s="10" t="s">
        <v>280</v>
      </c>
      <c r="F45" s="10" t="s">
        <v>281</v>
      </c>
      <c r="G45" s="10"/>
      <c r="H45" s="10" t="s">
        <v>282</v>
      </c>
      <c r="I45" s="44" t="s">
        <v>283</v>
      </c>
      <c r="J45" s="44" t="s">
        <v>283</v>
      </c>
      <c r="K45" s="11" t="s">
        <v>87</v>
      </c>
      <c r="L45" s="10"/>
      <c r="M45" s="10" t="s">
        <v>284</v>
      </c>
      <c r="N45" s="13"/>
      <c r="O45" s="13"/>
      <c r="P45" s="13"/>
      <c r="Q45"/>
    </row>
    <row r="46" spans="1:17" ht="51.75" customHeight="1">
      <c r="A46" s="4">
        <f t="shared" si="1"/>
        <v>44</v>
      </c>
      <c r="B46" s="5" t="s">
        <v>285</v>
      </c>
      <c r="C46" s="6" t="s">
        <v>18</v>
      </c>
      <c r="D46" s="6" t="s">
        <v>18</v>
      </c>
      <c r="E46" s="5" t="s">
        <v>286</v>
      </c>
      <c r="F46" s="5" t="s">
        <v>287</v>
      </c>
      <c r="G46" s="5"/>
      <c r="H46" s="5" t="s">
        <v>288</v>
      </c>
      <c r="I46" s="8" t="s">
        <v>41</v>
      </c>
      <c r="J46" s="8" t="s">
        <v>41</v>
      </c>
      <c r="K46" s="6" t="s">
        <v>187</v>
      </c>
      <c r="L46" s="5"/>
      <c r="M46" s="5" t="s">
        <v>289</v>
      </c>
      <c r="N46" s="7"/>
      <c r="O46" s="7"/>
      <c r="P46" s="7"/>
      <c r="Q46"/>
    </row>
    <row r="47" spans="1:17" ht="15" customHeight="1">
      <c r="Q47"/>
    </row>
    <row r="48" spans="1:17" ht="15" customHeight="1">
      <c r="Q48"/>
    </row>
    <row r="49" spans="1:17" ht="15" customHeight="1">
      <c r="Q49"/>
    </row>
    <row r="50" spans="1:17" ht="20.25">
      <c r="A50" s="16" t="s">
        <v>290</v>
      </c>
    </row>
    <row r="51" spans="1:17" ht="15" customHeight="1">
      <c r="B51" s="17" t="s">
        <v>291</v>
      </c>
    </row>
    <row r="53" spans="1:17" ht="15" customHeight="1">
      <c r="B53" s="18" t="s">
        <v>292</v>
      </c>
      <c r="C53" s="18" t="s">
        <v>293</v>
      </c>
      <c r="D53" s="18" t="s">
        <v>25</v>
      </c>
      <c r="E53" s="18" t="s">
        <v>129</v>
      </c>
      <c r="F53" s="18" t="s">
        <v>208</v>
      </c>
      <c r="G53" s="18"/>
      <c r="H53" s="18" t="s">
        <v>87</v>
      </c>
      <c r="I53" s="18" t="s">
        <v>187</v>
      </c>
      <c r="J53" s="18" t="s">
        <v>187</v>
      </c>
      <c r="K53" s="18" t="s">
        <v>294</v>
      </c>
      <c r="L53" s="18" t="s">
        <v>295</v>
      </c>
    </row>
    <row r="54" spans="1:17" ht="15" customHeight="1">
      <c r="B54" s="19" t="s">
        <v>296</v>
      </c>
      <c r="C54" s="19">
        <f>COUNTIF(CX進捗0323!$I:$I,"*鈴木佑*")</f>
        <v>4</v>
      </c>
      <c r="D54" s="20">
        <f t="shared" ref="D54:F59" si="2">COUNTIFS($I$1:$I$48,"*"&amp;$B54&amp;"*",$K$1:$K$48,D$53)</f>
        <v>0</v>
      </c>
      <c r="E54" s="21">
        <f t="shared" si="2"/>
        <v>0</v>
      </c>
      <c r="F54" s="22">
        <f t="shared" si="2"/>
        <v>1</v>
      </c>
      <c r="G54" s="22"/>
      <c r="H54" s="23">
        <f t="shared" ref="H54:L59" si="3">COUNTIFS($I$1:$I$48,"*"&amp;$B54&amp;"*",$K$1:$K$48,H$53)</f>
        <v>2</v>
      </c>
      <c r="I54" s="24">
        <f t="shared" si="3"/>
        <v>1</v>
      </c>
      <c r="J54" s="24">
        <f t="shared" si="3"/>
        <v>1</v>
      </c>
      <c r="K54" s="25">
        <f t="shared" si="3"/>
        <v>0</v>
      </c>
      <c r="L54" s="26">
        <f t="shared" si="3"/>
        <v>0</v>
      </c>
    </row>
    <row r="55" spans="1:17" ht="15" customHeight="1">
      <c r="B55" s="27" t="s">
        <v>180</v>
      </c>
      <c r="C55" s="27">
        <f>COUNTIF(CX進捗0323!$I:$I,"*齋藤*")</f>
        <v>7</v>
      </c>
      <c r="D55" s="20">
        <f t="shared" si="2"/>
        <v>3</v>
      </c>
      <c r="E55" s="21">
        <f t="shared" si="2"/>
        <v>0</v>
      </c>
      <c r="F55" s="22">
        <f t="shared" si="2"/>
        <v>1</v>
      </c>
      <c r="G55" s="22"/>
      <c r="H55" s="23">
        <f t="shared" si="3"/>
        <v>2</v>
      </c>
      <c r="I55" s="24">
        <f t="shared" si="3"/>
        <v>1</v>
      </c>
      <c r="J55" s="24">
        <f t="shared" si="3"/>
        <v>1</v>
      </c>
      <c r="K55" s="25">
        <f t="shared" si="3"/>
        <v>0</v>
      </c>
      <c r="L55" s="26">
        <f t="shared" si="3"/>
        <v>0</v>
      </c>
    </row>
    <row r="56" spans="1:17" ht="15" customHeight="1">
      <c r="B56" s="19" t="s">
        <v>41</v>
      </c>
      <c r="C56" s="19">
        <f>COUNTIF(CX進捗0323!$I:$I,"*鈴木孝*")</f>
        <v>15</v>
      </c>
      <c r="D56" s="20">
        <f t="shared" si="2"/>
        <v>10</v>
      </c>
      <c r="E56" s="21">
        <f t="shared" si="2"/>
        <v>0</v>
      </c>
      <c r="F56" s="22">
        <f t="shared" si="2"/>
        <v>0</v>
      </c>
      <c r="G56" s="22"/>
      <c r="H56" s="23">
        <f t="shared" si="3"/>
        <v>4</v>
      </c>
      <c r="I56" s="24">
        <f t="shared" si="3"/>
        <v>1</v>
      </c>
      <c r="J56" s="24">
        <f t="shared" si="3"/>
        <v>1</v>
      </c>
      <c r="K56" s="25">
        <f t="shared" si="3"/>
        <v>0</v>
      </c>
      <c r="L56" s="26">
        <f t="shared" si="3"/>
        <v>0</v>
      </c>
    </row>
    <row r="57" spans="1:17" ht="15" customHeight="1">
      <c r="B57" s="27" t="s">
        <v>34</v>
      </c>
      <c r="C57" s="27">
        <f>COUNTIF(CX進捗0323!$I:$I,"*横井*")</f>
        <v>18</v>
      </c>
      <c r="D57" s="20">
        <f t="shared" si="2"/>
        <v>8</v>
      </c>
      <c r="E57" s="21">
        <f t="shared" si="2"/>
        <v>0</v>
      </c>
      <c r="F57" s="22">
        <f t="shared" si="2"/>
        <v>0</v>
      </c>
      <c r="G57" s="22"/>
      <c r="H57" s="23">
        <f t="shared" si="3"/>
        <v>8</v>
      </c>
      <c r="I57" s="24">
        <f t="shared" si="3"/>
        <v>2</v>
      </c>
      <c r="J57" s="24">
        <f t="shared" si="3"/>
        <v>2</v>
      </c>
      <c r="K57" s="25">
        <f t="shared" si="3"/>
        <v>0</v>
      </c>
      <c r="L57" s="26">
        <f t="shared" si="3"/>
        <v>0</v>
      </c>
    </row>
    <row r="58" spans="1:17" ht="15" customHeight="1">
      <c r="B58" s="19" t="s">
        <v>297</v>
      </c>
      <c r="C58" s="19">
        <f>COUNTIF(CX進捗0323!$I:$I,"*足立*")</f>
        <v>13</v>
      </c>
      <c r="D58" s="20">
        <f t="shared" si="2"/>
        <v>7</v>
      </c>
      <c r="E58" s="21">
        <f t="shared" si="2"/>
        <v>0</v>
      </c>
      <c r="F58" s="22">
        <f t="shared" si="2"/>
        <v>0</v>
      </c>
      <c r="G58" s="22"/>
      <c r="H58" s="23">
        <f t="shared" si="3"/>
        <v>6</v>
      </c>
      <c r="I58" s="24">
        <f t="shared" si="3"/>
        <v>0</v>
      </c>
      <c r="J58" s="24">
        <f t="shared" si="3"/>
        <v>0</v>
      </c>
      <c r="K58" s="25">
        <f t="shared" si="3"/>
        <v>0</v>
      </c>
      <c r="L58" s="26">
        <f t="shared" si="3"/>
        <v>0</v>
      </c>
    </row>
    <row r="59" spans="1:17" ht="15" customHeight="1">
      <c r="B59" s="27" t="s">
        <v>71</v>
      </c>
      <c r="C59" s="27">
        <f>COUNTIF(CX進捗0323!$I:$I,"*石川*")</f>
        <v>12</v>
      </c>
      <c r="D59" s="20">
        <f t="shared" si="2"/>
        <v>6</v>
      </c>
      <c r="E59" s="21">
        <f t="shared" si="2"/>
        <v>1</v>
      </c>
      <c r="F59" s="22">
        <f t="shared" si="2"/>
        <v>0</v>
      </c>
      <c r="G59" s="22"/>
      <c r="H59" s="23">
        <f t="shared" si="3"/>
        <v>5</v>
      </c>
      <c r="I59" s="24">
        <f t="shared" si="3"/>
        <v>0</v>
      </c>
      <c r="J59" s="24">
        <f t="shared" si="3"/>
        <v>0</v>
      </c>
      <c r="K59" s="25">
        <f t="shared" si="3"/>
        <v>0</v>
      </c>
      <c r="L59" s="26">
        <f t="shared" si="3"/>
        <v>0</v>
      </c>
    </row>
    <row r="60" spans="1:17" ht="15" customHeight="1">
      <c r="B60" s="18" t="s">
        <v>298</v>
      </c>
      <c r="C60" s="18">
        <f t="shared" ref="C60:L60" si="4">SUM(C54:C59)</f>
        <v>69</v>
      </c>
      <c r="D60" s="18">
        <f t="shared" si="4"/>
        <v>34</v>
      </c>
      <c r="E60" s="18">
        <f t="shared" si="4"/>
        <v>1</v>
      </c>
      <c r="F60" s="18">
        <f t="shared" si="4"/>
        <v>2</v>
      </c>
      <c r="G60" s="18"/>
      <c r="H60" s="18">
        <f>SUM(H54:H59)</f>
        <v>27</v>
      </c>
      <c r="I60" s="18">
        <f>SUM(I54:I59)</f>
        <v>5</v>
      </c>
      <c r="J60" s="18">
        <f t="shared" ref="J60" si="5">SUM(J54:J59)</f>
        <v>5</v>
      </c>
      <c r="K60" s="18">
        <f t="shared" si="4"/>
        <v>0</v>
      </c>
      <c r="L60" s="18">
        <f t="shared" si="4"/>
        <v>0</v>
      </c>
    </row>
    <row r="63" spans="1:17" ht="15" customHeight="1">
      <c r="B63" s="28" t="s">
        <v>299</v>
      </c>
      <c r="D63" s="28" t="s">
        <v>300</v>
      </c>
    </row>
    <row r="64" spans="1:17" ht="15" customHeight="1">
      <c r="B64" s="29" t="s">
        <v>25</v>
      </c>
      <c r="D64" s="30" t="s">
        <v>17</v>
      </c>
    </row>
    <row r="65" spans="2:4" ht="15" customHeight="1">
      <c r="B65" s="31" t="s">
        <v>295</v>
      </c>
      <c r="D65" s="32" t="s">
        <v>18</v>
      </c>
    </row>
    <row r="66" spans="2:4" ht="15" customHeight="1">
      <c r="B66" s="33" t="s">
        <v>294</v>
      </c>
      <c r="D66" s="34" t="s">
        <v>46</v>
      </c>
    </row>
    <row r="67" spans="2:4" ht="15" customHeight="1">
      <c r="B67" s="35" t="s">
        <v>87</v>
      </c>
    </row>
    <row r="68" spans="2:4" ht="15" customHeight="1">
      <c r="B68" s="36" t="s">
        <v>187</v>
      </c>
    </row>
    <row r="69" spans="2:4" ht="15" customHeight="1">
      <c r="B69" s="37" t="s">
        <v>129</v>
      </c>
    </row>
    <row r="70" spans="2:4" ht="15" customHeight="1">
      <c r="B70" s="38" t="s">
        <v>208</v>
      </c>
    </row>
  </sheetData>
  <autoFilter ref="A1:O46" xr:uid="{00000000-0009-0000-0000-000000000000}"/>
  <phoneticPr fontId="15"/>
  <conditionalFormatting sqref="C2:C46">
    <cfRule type="expression" dxfId="25" priority="9">
      <formula>$C2="高"</formula>
    </cfRule>
    <cfRule type="expression" dxfId="24" priority="10">
      <formula>$C2="中"</formula>
    </cfRule>
    <cfRule type="expression" dxfId="23" priority="11">
      <formula>$C2="低"</formula>
    </cfRule>
  </conditionalFormatting>
  <conditionalFormatting sqref="D2:D46">
    <cfRule type="expression" dxfId="22" priority="12">
      <formula>$D2="高"</formula>
    </cfRule>
    <cfRule type="expression" dxfId="21" priority="13">
      <formula>$D2="中"</formula>
    </cfRule>
    <cfRule type="expression" dxfId="20" priority="14">
      <formula>$D2="低"</formula>
    </cfRule>
  </conditionalFormatting>
  <conditionalFormatting sqref="K2:K46">
    <cfRule type="expression" dxfId="19" priority="2">
      <formula>$K2="進行中"</formula>
    </cfRule>
    <cfRule type="expression" dxfId="18" priority="3">
      <formula>$K2="遅延"</formula>
    </cfRule>
    <cfRule type="expression" dxfId="17" priority="4">
      <formula>$K2="完了"</formula>
    </cfRule>
    <cfRule type="expression" dxfId="16" priority="5">
      <formula>$K2="未着手"</formula>
    </cfRule>
    <cfRule type="expression" dxfId="15" priority="6">
      <formula>$K2="停止"</formula>
    </cfRule>
    <cfRule type="expression" dxfId="14" priority="7">
      <formula>$K2="着手"</formula>
    </cfRule>
    <cfRule type="expression" dxfId="13" priority="8">
      <formula>$K2="調査中"</formula>
    </cfRule>
  </conditionalFormatting>
  <dataValidations count="2">
    <dataValidation type="list" allowBlank="1" showErrorMessage="1" errorTitle="入力エラー" error="リストから選択してください" sqref="K2:K46" xr:uid="{00000000-0002-0000-0000-000000000000}">
      <formula1>"未着手,進行中,着手,調査中,遅延,停止,完了"</formula1>
      <formula2>0</formula2>
    </dataValidation>
    <dataValidation type="list" allowBlank="1" showErrorMessage="1" errorTitle="入力エラー" error="リストから選択してください" sqref="C2:D46" xr:uid="{00000000-0002-0000-0000-000001000000}">
      <formula1>"高,中,低"</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A1EFA-54E4-463C-B57E-C7AEDD60CF49}">
  <dimension ref="A1:Q68"/>
  <sheetViews>
    <sheetView zoomScaleNormal="100" workbookViewId="0">
      <pane ySplit="1" topLeftCell="A2" activePane="bottomLeft" state="frozen"/>
      <selection pane="bottomLeft" activeCell="E3" sqref="E3"/>
    </sheetView>
  </sheetViews>
  <sheetFormatPr defaultColWidth="8.5" defaultRowHeight="15" customHeight="1"/>
  <cols>
    <col min="1" max="1" width="4" style="1" customWidth="1"/>
    <col min="2" max="2" width="26" style="1" customWidth="1"/>
    <col min="3" max="4" width="5" style="1" customWidth="1"/>
    <col min="5" max="5" width="14" style="1" customWidth="1"/>
    <col min="6" max="6" width="38" style="1" customWidth="1"/>
    <col min="7" max="7" width="27.875" style="1" customWidth="1"/>
    <col min="8" max="8" width="14" style="1" customWidth="1"/>
    <col min="9" max="11" width="10" style="1" customWidth="1"/>
    <col min="12" max="12" width="28.875" style="1" customWidth="1"/>
    <col min="13" max="14" width="34" style="1" customWidth="1"/>
    <col min="15" max="17" width="30" style="1" customWidth="1"/>
  </cols>
  <sheetData>
    <row r="1" spans="1:17" ht="33">
      <c r="A1" s="2" t="s">
        <v>0</v>
      </c>
      <c r="B1" s="3" t="s">
        <v>1</v>
      </c>
      <c r="C1" s="3" t="s">
        <v>2</v>
      </c>
      <c r="D1" s="3" t="s">
        <v>3</v>
      </c>
      <c r="E1" s="2" t="s">
        <v>4</v>
      </c>
      <c r="F1" s="2" t="s">
        <v>5</v>
      </c>
      <c r="G1" s="47" t="s">
        <v>6</v>
      </c>
      <c r="H1" s="3" t="s">
        <v>7</v>
      </c>
      <c r="I1" s="2" t="s">
        <v>8</v>
      </c>
      <c r="J1" s="46" t="s">
        <v>9</v>
      </c>
      <c r="K1" s="3" t="s">
        <v>10</v>
      </c>
      <c r="L1" s="39" t="s">
        <v>11</v>
      </c>
      <c r="M1" s="39" t="s">
        <v>12</v>
      </c>
      <c r="N1" s="39" t="s">
        <v>13</v>
      </c>
      <c r="O1" s="39" t="s">
        <v>14</v>
      </c>
      <c r="P1" s="39" t="s">
        <v>15</v>
      </c>
      <c r="Q1"/>
    </row>
    <row r="2" spans="1:17" ht="78" customHeight="1">
      <c r="A2" s="4">
        <v>1</v>
      </c>
      <c r="B2" s="5" t="s">
        <v>16</v>
      </c>
      <c r="C2" s="6" t="s">
        <v>17</v>
      </c>
      <c r="D2" s="6" t="s">
        <v>18</v>
      </c>
      <c r="E2" s="5" t="s">
        <v>19</v>
      </c>
      <c r="F2" s="48" t="s">
        <v>20</v>
      </c>
      <c r="G2" s="5" t="s">
        <v>21</v>
      </c>
      <c r="H2" s="7" t="s">
        <v>22</v>
      </c>
      <c r="I2" s="8" t="s">
        <v>23</v>
      </c>
      <c r="J2" s="45" t="s">
        <v>24</v>
      </c>
      <c r="K2" s="6" t="s">
        <v>25</v>
      </c>
      <c r="L2" s="5"/>
      <c r="M2" s="5" t="s">
        <v>335</v>
      </c>
      <c r="N2" s="7" t="s">
        <v>336</v>
      </c>
      <c r="O2" s="7"/>
      <c r="P2" s="7"/>
      <c r="Q2"/>
    </row>
    <row r="3" spans="1:17" ht="207.75" customHeight="1">
      <c r="A3" s="9">
        <v>2</v>
      </c>
      <c r="B3" s="10" t="s">
        <v>28</v>
      </c>
      <c r="C3" s="11" t="s">
        <v>17</v>
      </c>
      <c r="D3" s="11" t="s">
        <v>17</v>
      </c>
      <c r="E3" s="10" t="s">
        <v>29</v>
      </c>
      <c r="F3" s="49" t="s">
        <v>30</v>
      </c>
      <c r="G3" s="41" t="s">
        <v>31</v>
      </c>
      <c r="H3" s="10" t="s">
        <v>32</v>
      </c>
      <c r="I3" s="12" t="s">
        <v>33</v>
      </c>
      <c r="J3" s="12"/>
      <c r="K3" s="11" t="s">
        <v>25</v>
      </c>
      <c r="L3" s="40"/>
      <c r="M3" s="40" t="s">
        <v>35</v>
      </c>
      <c r="N3" s="10" t="s">
        <v>36</v>
      </c>
      <c r="O3" s="10"/>
      <c r="P3" s="10"/>
      <c r="Q3"/>
    </row>
    <row r="4" spans="1:17" ht="64.5" customHeight="1">
      <c r="A4" s="4">
        <v>3</v>
      </c>
      <c r="B4" s="5" t="s">
        <v>37</v>
      </c>
      <c r="C4" s="6" t="s">
        <v>17</v>
      </c>
      <c r="D4" s="6" t="s">
        <v>17</v>
      </c>
      <c r="E4" s="7" t="s">
        <v>38</v>
      </c>
      <c r="F4" s="7" t="s">
        <v>39</v>
      </c>
      <c r="G4" s="7"/>
      <c r="H4" s="5" t="s">
        <v>40</v>
      </c>
      <c r="I4" s="8" t="s">
        <v>41</v>
      </c>
      <c r="J4" s="8"/>
      <c r="K4" s="6" t="s">
        <v>25</v>
      </c>
      <c r="L4" s="5"/>
      <c r="M4" s="5" t="s">
        <v>43</v>
      </c>
      <c r="N4" s="5" t="s">
        <v>44</v>
      </c>
      <c r="O4" s="5"/>
      <c r="P4" s="5"/>
      <c r="Q4"/>
    </row>
    <row r="5" spans="1:17" ht="120" customHeight="1">
      <c r="A5" s="9">
        <v>4</v>
      </c>
      <c r="B5" s="10" t="s">
        <v>45</v>
      </c>
      <c r="C5" s="11" t="s">
        <v>18</v>
      </c>
      <c r="D5" s="11" t="s">
        <v>46</v>
      </c>
      <c r="E5" s="10" t="s">
        <v>47</v>
      </c>
      <c r="F5" s="41" t="s">
        <v>48</v>
      </c>
      <c r="G5" s="41" t="s">
        <v>49</v>
      </c>
      <c r="H5" s="10" t="s">
        <v>50</v>
      </c>
      <c r="I5" s="43" t="s">
        <v>337</v>
      </c>
      <c r="J5" s="44" t="s">
        <v>52</v>
      </c>
      <c r="K5" s="11" t="s">
        <v>25</v>
      </c>
      <c r="L5" s="41" t="s">
        <v>304</v>
      </c>
      <c r="M5" s="41" t="s">
        <v>53</v>
      </c>
      <c r="N5" s="42" t="s">
        <v>338</v>
      </c>
      <c r="O5" s="13"/>
      <c r="P5" s="13"/>
      <c r="Q5"/>
    </row>
    <row r="6" spans="1:17" ht="63.75" customHeight="1">
      <c r="A6" s="4">
        <v>5</v>
      </c>
      <c r="B6" s="5" t="s">
        <v>55</v>
      </c>
      <c r="C6" s="6" t="s">
        <v>17</v>
      </c>
      <c r="D6" s="6" t="s">
        <v>17</v>
      </c>
      <c r="E6" s="7" t="s">
        <v>56</v>
      </c>
      <c r="F6" s="5" t="s">
        <v>57</v>
      </c>
      <c r="G6" s="5"/>
      <c r="H6" s="7" t="s">
        <v>58</v>
      </c>
      <c r="I6" s="8" t="s">
        <v>59</v>
      </c>
      <c r="J6" s="8"/>
      <c r="K6" s="6" t="s">
        <v>25</v>
      </c>
      <c r="L6" s="5"/>
      <c r="M6" s="5" t="s">
        <v>61</v>
      </c>
      <c r="N6" s="7" t="s">
        <v>62</v>
      </c>
      <c r="O6" s="7"/>
      <c r="P6" s="7"/>
      <c r="Q6"/>
    </row>
    <row r="7" spans="1:17" ht="27.75" customHeight="1">
      <c r="A7" s="9">
        <v>6</v>
      </c>
      <c r="B7" s="10" t="s">
        <v>63</v>
      </c>
      <c r="C7" s="11" t="s">
        <v>17</v>
      </c>
      <c r="D7" s="11" t="s">
        <v>17</v>
      </c>
      <c r="E7" s="13" t="s">
        <v>56</v>
      </c>
      <c r="F7" s="10" t="s">
        <v>64</v>
      </c>
      <c r="G7" s="10"/>
      <c r="H7" s="13" t="s">
        <v>58</v>
      </c>
      <c r="I7" s="12" t="s">
        <v>59</v>
      </c>
      <c r="J7" s="12"/>
      <c r="K7" s="11" t="s">
        <v>25</v>
      </c>
      <c r="L7" s="13"/>
      <c r="M7" s="13" t="s">
        <v>339</v>
      </c>
      <c r="N7" s="13" t="s">
        <v>62</v>
      </c>
      <c r="O7" s="13"/>
      <c r="P7" s="13"/>
      <c r="Q7"/>
    </row>
    <row r="8" spans="1:17" ht="27.75" customHeight="1">
      <c r="A8" s="4">
        <v>7</v>
      </c>
      <c r="B8" s="5" t="s">
        <v>67</v>
      </c>
      <c r="C8" s="6" t="s">
        <v>17</v>
      </c>
      <c r="D8" s="6" t="s">
        <v>18</v>
      </c>
      <c r="E8" s="5" t="s">
        <v>68</v>
      </c>
      <c r="F8" s="5" t="s">
        <v>69</v>
      </c>
      <c r="G8" s="5"/>
      <c r="H8" s="5" t="s">
        <v>70</v>
      </c>
      <c r="I8" s="8" t="s">
        <v>71</v>
      </c>
      <c r="J8" s="8"/>
      <c r="K8" s="6" t="s">
        <v>25</v>
      </c>
      <c r="L8" s="7"/>
      <c r="M8" s="7" t="s">
        <v>72</v>
      </c>
      <c r="N8" s="7" t="s">
        <v>73</v>
      </c>
      <c r="O8" s="7"/>
      <c r="P8" s="7"/>
      <c r="Q8"/>
    </row>
    <row r="9" spans="1:17" ht="78" customHeight="1">
      <c r="A9" s="9">
        <v>8</v>
      </c>
      <c r="B9" s="10" t="s">
        <v>74</v>
      </c>
      <c r="C9" s="11" t="s">
        <v>18</v>
      </c>
      <c r="D9" s="11" t="s">
        <v>18</v>
      </c>
      <c r="E9" s="13" t="s">
        <v>75</v>
      </c>
      <c r="F9" s="13" t="s">
        <v>76</v>
      </c>
      <c r="G9" s="50" t="s">
        <v>77</v>
      </c>
      <c r="H9" s="13" t="s">
        <v>78</v>
      </c>
      <c r="I9" s="12" t="s">
        <v>79</v>
      </c>
      <c r="J9" s="12"/>
      <c r="K9" s="11" t="s">
        <v>25</v>
      </c>
      <c r="L9" s="10"/>
      <c r="M9" s="10" t="s">
        <v>80</v>
      </c>
      <c r="N9" s="10" t="s">
        <v>81</v>
      </c>
      <c r="O9" s="10"/>
      <c r="P9" s="10"/>
      <c r="Q9"/>
    </row>
    <row r="10" spans="1:17" ht="39" customHeight="1">
      <c r="A10" s="4">
        <v>9</v>
      </c>
      <c r="B10" s="5" t="s">
        <v>82</v>
      </c>
      <c r="C10" s="6" t="s">
        <v>17</v>
      </c>
      <c r="D10" s="6" t="s">
        <v>46</v>
      </c>
      <c r="E10" s="5" t="s">
        <v>83</v>
      </c>
      <c r="F10" s="5" t="s">
        <v>84</v>
      </c>
      <c r="G10" s="5"/>
      <c r="H10" s="5" t="s">
        <v>85</v>
      </c>
      <c r="I10" s="45" t="s">
        <v>340</v>
      </c>
      <c r="J10" s="8" t="s">
        <v>24</v>
      </c>
      <c r="K10" s="6" t="s">
        <v>87</v>
      </c>
      <c r="L10" s="5"/>
      <c r="M10" s="5" t="s">
        <v>88</v>
      </c>
      <c r="N10" s="5" t="s">
        <v>89</v>
      </c>
      <c r="O10" s="5"/>
      <c r="P10" s="5"/>
      <c r="Q10"/>
    </row>
    <row r="11" spans="1:17" ht="60.75" customHeight="1">
      <c r="A11" s="9">
        <v>10</v>
      </c>
      <c r="B11" s="10" t="s">
        <v>90</v>
      </c>
      <c r="C11" s="11" t="s">
        <v>18</v>
      </c>
      <c r="D11" s="11" t="s">
        <v>18</v>
      </c>
      <c r="E11" s="10" t="s">
        <v>91</v>
      </c>
      <c r="F11" s="13" t="s">
        <v>92</v>
      </c>
      <c r="G11" s="13"/>
      <c r="H11" s="10" t="s">
        <v>93</v>
      </c>
      <c r="I11" s="12" t="s">
        <v>94</v>
      </c>
      <c r="J11" s="12"/>
      <c r="K11" s="11" t="s">
        <v>25</v>
      </c>
      <c r="L11" s="10"/>
      <c r="M11" s="10" t="s">
        <v>95</v>
      </c>
      <c r="N11" s="10" t="s">
        <v>96</v>
      </c>
      <c r="O11" s="10"/>
      <c r="P11" s="10"/>
      <c r="Q11"/>
    </row>
    <row r="12" spans="1:17" ht="62.25" customHeight="1">
      <c r="A12" s="4">
        <v>11</v>
      </c>
      <c r="B12" s="5" t="s">
        <v>97</v>
      </c>
      <c r="C12" s="6" t="s">
        <v>18</v>
      </c>
      <c r="D12" s="6" t="s">
        <v>18</v>
      </c>
      <c r="E12" s="5" t="s">
        <v>98</v>
      </c>
      <c r="F12" s="7" t="s">
        <v>99</v>
      </c>
      <c r="G12" s="7"/>
      <c r="H12" s="5" t="s">
        <v>93</v>
      </c>
      <c r="I12" s="8" t="s">
        <v>94</v>
      </c>
      <c r="J12" s="8"/>
      <c r="K12" s="6" t="s">
        <v>25</v>
      </c>
      <c r="L12" s="5"/>
      <c r="M12" s="5" t="s">
        <v>101</v>
      </c>
      <c r="N12" s="5" t="s">
        <v>102</v>
      </c>
      <c r="O12" s="5"/>
      <c r="P12" s="5"/>
      <c r="Q12"/>
    </row>
    <row r="13" spans="1:17" ht="87.75" customHeight="1">
      <c r="A13" s="9">
        <v>12</v>
      </c>
      <c r="B13" s="10" t="s">
        <v>103</v>
      </c>
      <c r="C13" s="11" t="s">
        <v>17</v>
      </c>
      <c r="D13" s="11" t="s">
        <v>17</v>
      </c>
      <c r="E13" s="10" t="s">
        <v>104</v>
      </c>
      <c r="F13" s="10" t="s">
        <v>105</v>
      </c>
      <c r="G13" s="10"/>
      <c r="H13" s="10" t="s">
        <v>106</v>
      </c>
      <c r="I13" s="12" t="s">
        <v>71</v>
      </c>
      <c r="J13" s="12" t="s">
        <v>71</v>
      </c>
      <c r="K13" s="11" t="s">
        <v>25</v>
      </c>
      <c r="L13" s="10" t="s">
        <v>309</v>
      </c>
      <c r="M13" s="10" t="s">
        <v>107</v>
      </c>
      <c r="N13" s="10" t="s">
        <v>108</v>
      </c>
      <c r="O13" s="10"/>
      <c r="P13" s="10"/>
      <c r="Q13"/>
    </row>
    <row r="14" spans="1:17" ht="27.75" customHeight="1">
      <c r="A14" s="4">
        <v>13</v>
      </c>
      <c r="B14" s="5" t="s">
        <v>109</v>
      </c>
      <c r="C14" s="6" t="s">
        <v>17</v>
      </c>
      <c r="D14" s="6" t="s">
        <v>17</v>
      </c>
      <c r="E14" s="5" t="s">
        <v>110</v>
      </c>
      <c r="F14" s="5" t="s">
        <v>111</v>
      </c>
      <c r="G14" s="5"/>
      <c r="H14" s="5" t="s">
        <v>32</v>
      </c>
      <c r="I14" s="8" t="s">
        <v>94</v>
      </c>
      <c r="J14" s="8"/>
      <c r="K14" s="6" t="s">
        <v>25</v>
      </c>
      <c r="L14" s="7"/>
      <c r="M14" s="7" t="s">
        <v>112</v>
      </c>
      <c r="N14" s="5" t="s">
        <v>113</v>
      </c>
      <c r="O14" s="5"/>
      <c r="P14" s="5"/>
      <c r="Q14"/>
    </row>
    <row r="15" spans="1:17" ht="51.75" customHeight="1">
      <c r="A15" s="9">
        <v>14</v>
      </c>
      <c r="B15" s="13" t="s">
        <v>114</v>
      </c>
      <c r="C15" s="11" t="s">
        <v>18</v>
      </c>
      <c r="D15" s="11" t="s">
        <v>46</v>
      </c>
      <c r="E15" s="13" t="s">
        <v>115</v>
      </c>
      <c r="F15" s="10" t="s">
        <v>116</v>
      </c>
      <c r="G15" s="10"/>
      <c r="H15" s="10" t="s">
        <v>117</v>
      </c>
      <c r="I15" s="12" t="s">
        <v>34</v>
      </c>
      <c r="J15" s="12"/>
      <c r="K15" s="11" t="s">
        <v>25</v>
      </c>
      <c r="L15" s="10"/>
      <c r="M15" s="10" t="s">
        <v>118</v>
      </c>
      <c r="N15" s="10" t="s">
        <v>119</v>
      </c>
      <c r="O15" s="10"/>
      <c r="P15" s="10"/>
      <c r="Q15"/>
    </row>
    <row r="16" spans="1:17" ht="64.5" customHeight="1">
      <c r="A16" s="4">
        <v>15</v>
      </c>
      <c r="B16" s="7" t="s">
        <v>120</v>
      </c>
      <c r="C16" s="6" t="s">
        <v>17</v>
      </c>
      <c r="D16" s="6" t="s">
        <v>17</v>
      </c>
      <c r="E16" s="7" t="s">
        <v>121</v>
      </c>
      <c r="F16" s="5" t="s">
        <v>122</v>
      </c>
      <c r="G16" s="5"/>
      <c r="H16" s="7" t="s">
        <v>123</v>
      </c>
      <c r="I16" s="8" t="s">
        <v>71</v>
      </c>
      <c r="J16" s="8"/>
      <c r="K16" s="6" t="s">
        <v>25</v>
      </c>
      <c r="L16" s="5"/>
      <c r="M16" s="5" t="s">
        <v>124</v>
      </c>
      <c r="N16" s="5" t="s">
        <v>125</v>
      </c>
      <c r="O16" s="5"/>
      <c r="P16" s="5"/>
      <c r="Q16"/>
    </row>
    <row r="17" spans="1:17" ht="27.75" customHeight="1">
      <c r="A17" s="9">
        <v>16</v>
      </c>
      <c r="B17" s="10" t="s">
        <v>126</v>
      </c>
      <c r="C17" s="11" t="s">
        <v>18</v>
      </c>
      <c r="D17" s="11" t="s">
        <v>18</v>
      </c>
      <c r="E17" s="10" t="s">
        <v>127</v>
      </c>
      <c r="F17" s="10" t="s">
        <v>128</v>
      </c>
      <c r="G17" s="10"/>
      <c r="H17" s="13" t="s">
        <v>58</v>
      </c>
      <c r="I17" s="12" t="s">
        <v>71</v>
      </c>
      <c r="J17" s="12"/>
      <c r="K17" s="11" t="s">
        <v>129</v>
      </c>
      <c r="L17" s="13"/>
      <c r="M17" s="13" t="s">
        <v>130</v>
      </c>
      <c r="N17" s="10" t="s">
        <v>131</v>
      </c>
      <c r="O17" s="10"/>
      <c r="P17" s="10"/>
      <c r="Q17"/>
    </row>
    <row r="18" spans="1:17" ht="27.75" customHeight="1">
      <c r="A18" s="4">
        <v>17</v>
      </c>
      <c r="B18" s="5" t="s">
        <v>132</v>
      </c>
      <c r="C18" s="6" t="s">
        <v>18</v>
      </c>
      <c r="D18" s="6" t="s">
        <v>18</v>
      </c>
      <c r="E18" s="5" t="s">
        <v>133</v>
      </c>
      <c r="F18" s="5" t="s">
        <v>134</v>
      </c>
      <c r="G18" s="5"/>
      <c r="H18" s="7" t="s">
        <v>58</v>
      </c>
      <c r="I18" s="8" t="s">
        <v>135</v>
      </c>
      <c r="J18" s="8"/>
      <c r="K18" s="6" t="s">
        <v>87</v>
      </c>
      <c r="L18" s="5"/>
      <c r="M18" s="5" t="s">
        <v>136</v>
      </c>
      <c r="N18" s="7"/>
      <c r="O18" s="7"/>
      <c r="P18" s="7"/>
      <c r="Q18"/>
    </row>
    <row r="19" spans="1:17" ht="108.75" customHeight="1">
      <c r="A19" s="9">
        <v>18</v>
      </c>
      <c r="B19" s="13" t="s">
        <v>137</v>
      </c>
      <c r="C19" s="11" t="s">
        <v>17</v>
      </c>
      <c r="D19" s="11" t="s">
        <v>18</v>
      </c>
      <c r="E19" s="10" t="s">
        <v>138</v>
      </c>
      <c r="F19" s="13" t="s">
        <v>341</v>
      </c>
      <c r="G19" s="13"/>
      <c r="H19" s="13" t="s">
        <v>58</v>
      </c>
      <c r="I19" s="12" t="s">
        <v>214</v>
      </c>
      <c r="J19" s="12" t="s">
        <v>71</v>
      </c>
      <c r="K19" s="11" t="s">
        <v>25</v>
      </c>
      <c r="L19" s="10" t="s">
        <v>342</v>
      </c>
      <c r="M19" s="10" t="s">
        <v>343</v>
      </c>
      <c r="N19" s="13" t="s">
        <v>344</v>
      </c>
      <c r="O19" s="13"/>
      <c r="P19" s="13"/>
      <c r="Q19"/>
    </row>
    <row r="20" spans="1:17" ht="51.75" customHeight="1">
      <c r="A20" s="4">
        <v>19</v>
      </c>
      <c r="B20" s="7" t="s">
        <v>144</v>
      </c>
      <c r="C20" s="6" t="s">
        <v>17</v>
      </c>
      <c r="D20" s="6" t="s">
        <v>17</v>
      </c>
      <c r="E20" s="7" t="s">
        <v>145</v>
      </c>
      <c r="F20" s="5" t="s">
        <v>146</v>
      </c>
      <c r="G20" s="5"/>
      <c r="H20" s="5" t="s">
        <v>32</v>
      </c>
      <c r="I20" s="8" t="s">
        <v>135</v>
      </c>
      <c r="J20" s="8"/>
      <c r="K20" s="6" t="s">
        <v>25</v>
      </c>
      <c r="L20" s="7"/>
      <c r="M20" s="7"/>
      <c r="N20" s="7"/>
      <c r="O20" s="7"/>
      <c r="P20" s="7"/>
      <c r="Q20"/>
    </row>
    <row r="21" spans="1:17" ht="158.25" customHeight="1">
      <c r="A21" s="9">
        <v>20</v>
      </c>
      <c r="B21" s="10" t="s">
        <v>148</v>
      </c>
      <c r="C21" s="11" t="s">
        <v>18</v>
      </c>
      <c r="D21" s="11" t="s">
        <v>18</v>
      </c>
      <c r="E21" s="13" t="s">
        <v>149</v>
      </c>
      <c r="F21" s="13" t="s">
        <v>150</v>
      </c>
      <c r="G21" s="13" t="s">
        <v>151</v>
      </c>
      <c r="H21" s="10" t="s">
        <v>32</v>
      </c>
      <c r="I21" s="44" t="s">
        <v>152</v>
      </c>
      <c r="J21" s="12" t="s">
        <v>221</v>
      </c>
      <c r="K21" s="11" t="s">
        <v>87</v>
      </c>
      <c r="L21" s="13" t="s">
        <v>87</v>
      </c>
      <c r="M21" s="49" t="s">
        <v>154</v>
      </c>
      <c r="N21" s="10" t="s">
        <v>155</v>
      </c>
      <c r="O21" s="10"/>
      <c r="P21" s="10"/>
      <c r="Q21"/>
    </row>
    <row r="22" spans="1:17" ht="110.25" customHeight="1">
      <c r="A22" s="4">
        <v>21</v>
      </c>
      <c r="B22" s="5" t="s">
        <v>156</v>
      </c>
      <c r="C22" s="6" t="s">
        <v>17</v>
      </c>
      <c r="D22" s="6" t="s">
        <v>46</v>
      </c>
      <c r="E22" s="5" t="s">
        <v>157</v>
      </c>
      <c r="F22" s="5" t="s">
        <v>158</v>
      </c>
      <c r="G22" s="5"/>
      <c r="H22" s="7" t="s">
        <v>159</v>
      </c>
      <c r="I22" s="8" t="s">
        <v>160</v>
      </c>
      <c r="J22" s="8"/>
      <c r="K22" s="6" t="s">
        <v>87</v>
      </c>
      <c r="L22" s="5"/>
      <c r="M22" s="5" t="s">
        <v>161</v>
      </c>
      <c r="N22" s="5" t="s">
        <v>162</v>
      </c>
      <c r="O22" s="5"/>
      <c r="P22" s="5"/>
      <c r="Q22"/>
    </row>
    <row r="23" spans="1:17" ht="103.5" customHeight="1">
      <c r="A23" s="9">
        <v>22</v>
      </c>
      <c r="B23" s="10" t="s">
        <v>163</v>
      </c>
      <c r="C23" s="11" t="s">
        <v>46</v>
      </c>
      <c r="D23" s="11" t="s">
        <v>46</v>
      </c>
      <c r="E23" s="10" t="s">
        <v>163</v>
      </c>
      <c r="F23" s="10" t="s">
        <v>164</v>
      </c>
      <c r="G23" s="10"/>
      <c r="H23" s="13" t="s">
        <v>159</v>
      </c>
      <c r="I23" s="12" t="s">
        <v>86</v>
      </c>
      <c r="J23" s="12"/>
      <c r="K23" s="11" t="s">
        <v>87</v>
      </c>
      <c r="L23" s="13"/>
      <c r="M23" s="13"/>
      <c r="N23" s="10" t="s">
        <v>330</v>
      </c>
      <c r="O23" s="10"/>
      <c r="P23" s="10"/>
      <c r="Q23"/>
    </row>
    <row r="24" spans="1:17" ht="39" customHeight="1">
      <c r="A24" s="4">
        <v>23</v>
      </c>
      <c r="B24" s="7" t="s">
        <v>166</v>
      </c>
      <c r="C24" s="6" t="s">
        <v>17</v>
      </c>
      <c r="D24" s="6" t="s">
        <v>46</v>
      </c>
      <c r="E24" s="7" t="s">
        <v>166</v>
      </c>
      <c r="F24" s="7" t="s">
        <v>167</v>
      </c>
      <c r="G24" s="7"/>
      <c r="H24" s="5" t="s">
        <v>168</v>
      </c>
      <c r="I24" s="8" t="s">
        <v>33</v>
      </c>
      <c r="J24" s="8"/>
      <c r="K24" s="6" t="s">
        <v>25</v>
      </c>
      <c r="L24" s="5"/>
      <c r="M24" s="5" t="s">
        <v>345</v>
      </c>
      <c r="N24" s="5" t="s">
        <v>170</v>
      </c>
      <c r="O24" s="5"/>
      <c r="P24" s="5"/>
      <c r="Q24"/>
    </row>
    <row r="25" spans="1:17" ht="27.75" customHeight="1">
      <c r="A25" s="9">
        <v>24</v>
      </c>
      <c r="B25" s="10" t="s">
        <v>171</v>
      </c>
      <c r="C25" s="11" t="s">
        <v>17</v>
      </c>
      <c r="D25" s="11" t="s">
        <v>17</v>
      </c>
      <c r="E25" s="10" t="s">
        <v>172</v>
      </c>
      <c r="F25" s="10" t="s">
        <v>173</v>
      </c>
      <c r="G25" s="10"/>
      <c r="H25" s="10" t="s">
        <v>174</v>
      </c>
      <c r="I25" s="12" t="s">
        <v>34</v>
      </c>
      <c r="J25" s="12"/>
      <c r="K25" s="11" t="s">
        <v>187</v>
      </c>
      <c r="L25" s="10"/>
      <c r="M25" s="10" t="s">
        <v>175</v>
      </c>
      <c r="N25" s="13" t="s">
        <v>176</v>
      </c>
      <c r="O25" s="13"/>
      <c r="P25" s="13"/>
      <c r="Q25"/>
    </row>
    <row r="26" spans="1:17" ht="36">
      <c r="A26" s="4">
        <v>25</v>
      </c>
      <c r="B26" s="5" t="s">
        <v>177</v>
      </c>
      <c r="C26" s="6" t="s">
        <v>18</v>
      </c>
      <c r="D26" s="6" t="s">
        <v>46</v>
      </c>
      <c r="E26" s="5" t="s">
        <v>178</v>
      </c>
      <c r="F26" s="5" t="s">
        <v>179</v>
      </c>
      <c r="G26" s="5"/>
      <c r="H26" s="5" t="s">
        <v>117</v>
      </c>
      <c r="I26" s="8" t="s">
        <v>180</v>
      </c>
      <c r="J26" s="8" t="s">
        <v>180</v>
      </c>
      <c r="K26" s="6" t="s">
        <v>25</v>
      </c>
      <c r="L26" s="5"/>
      <c r="M26" s="5" t="s">
        <v>181</v>
      </c>
      <c r="N26" s="5" t="s">
        <v>182</v>
      </c>
      <c r="O26" s="5"/>
      <c r="P26" s="5"/>
      <c r="Q26"/>
    </row>
    <row r="27" spans="1:17" ht="60">
      <c r="A27" s="9">
        <v>26</v>
      </c>
      <c r="B27" s="10" t="s">
        <v>183</v>
      </c>
      <c r="C27" s="11" t="s">
        <v>17</v>
      </c>
      <c r="D27" s="11" t="s">
        <v>46</v>
      </c>
      <c r="E27" s="10" t="s">
        <v>184</v>
      </c>
      <c r="F27" s="10" t="s">
        <v>185</v>
      </c>
      <c r="G27" s="10"/>
      <c r="H27" s="10" t="s">
        <v>106</v>
      </c>
      <c r="I27" s="12" t="s">
        <v>186</v>
      </c>
      <c r="J27" s="12"/>
      <c r="K27" s="11" t="s">
        <v>187</v>
      </c>
      <c r="L27" s="10"/>
      <c r="M27" s="10" t="s">
        <v>188</v>
      </c>
      <c r="N27" s="10" t="s">
        <v>189</v>
      </c>
      <c r="O27" s="10"/>
      <c r="P27" s="10"/>
      <c r="Q27"/>
    </row>
    <row r="28" spans="1:17" ht="39" customHeight="1">
      <c r="A28" s="4">
        <v>27</v>
      </c>
      <c r="B28" s="7" t="s">
        <v>190</v>
      </c>
      <c r="C28" s="6" t="s">
        <v>46</v>
      </c>
      <c r="D28" s="6" t="s">
        <v>46</v>
      </c>
      <c r="E28" s="5" t="s">
        <v>191</v>
      </c>
      <c r="F28" s="5" t="s">
        <v>192</v>
      </c>
      <c r="G28" s="5"/>
      <c r="H28" s="5" t="s">
        <v>193</v>
      </c>
      <c r="I28" s="8" t="s">
        <v>194</v>
      </c>
      <c r="J28" s="8"/>
      <c r="K28" s="6" t="s">
        <v>87</v>
      </c>
      <c r="L28" s="5"/>
      <c r="M28" s="5" t="s">
        <v>195</v>
      </c>
      <c r="N28" s="7" t="s">
        <v>196</v>
      </c>
      <c r="O28" s="7"/>
      <c r="P28" s="7"/>
      <c r="Q28"/>
    </row>
    <row r="29" spans="1:17" ht="51.75" customHeight="1">
      <c r="A29" s="9">
        <v>28</v>
      </c>
      <c r="B29" s="10" t="s">
        <v>197</v>
      </c>
      <c r="C29" s="11" t="s">
        <v>46</v>
      </c>
      <c r="D29" s="11" t="s">
        <v>46</v>
      </c>
      <c r="E29" s="10" t="s">
        <v>198</v>
      </c>
      <c r="F29" s="10" t="s">
        <v>199</v>
      </c>
      <c r="G29" s="10"/>
      <c r="H29" s="10" t="s">
        <v>200</v>
      </c>
      <c r="I29" s="12" t="s">
        <v>201</v>
      </c>
      <c r="J29" s="44" t="s">
        <v>24</v>
      </c>
      <c r="K29" s="11" t="s">
        <v>87</v>
      </c>
      <c r="L29" s="10"/>
      <c r="M29" s="10" t="s">
        <v>202</v>
      </c>
      <c r="N29" s="10" t="s">
        <v>331</v>
      </c>
      <c r="O29" s="10"/>
      <c r="P29" s="10"/>
      <c r="Q29"/>
    </row>
    <row r="30" spans="1:17" ht="129.75" customHeight="1">
      <c r="A30" s="4">
        <v>29</v>
      </c>
      <c r="B30" s="7" t="s">
        <v>204</v>
      </c>
      <c r="C30" s="6" t="s">
        <v>17</v>
      </c>
      <c r="D30" s="6" t="s">
        <v>46</v>
      </c>
      <c r="E30" s="5" t="s">
        <v>205</v>
      </c>
      <c r="F30" s="7" t="s">
        <v>206</v>
      </c>
      <c r="G30" s="7"/>
      <c r="H30" s="5" t="s">
        <v>207</v>
      </c>
      <c r="I30" s="8" t="s">
        <v>201</v>
      </c>
      <c r="J30" s="8" t="s">
        <v>180</v>
      </c>
      <c r="K30" s="6" t="s">
        <v>208</v>
      </c>
      <c r="L30" s="5"/>
      <c r="M30" s="5" t="s">
        <v>209</v>
      </c>
      <c r="N30" s="7" t="s">
        <v>332</v>
      </c>
      <c r="O30" s="7"/>
      <c r="P30" s="7"/>
      <c r="Q30"/>
    </row>
    <row r="31" spans="1:17" ht="39" customHeight="1">
      <c r="A31" s="9">
        <v>30</v>
      </c>
      <c r="B31" s="13" t="s">
        <v>211</v>
      </c>
      <c r="C31" s="11" t="s">
        <v>17</v>
      </c>
      <c r="D31" s="11" t="s">
        <v>18</v>
      </c>
      <c r="E31" s="13" t="s">
        <v>212</v>
      </c>
      <c r="F31" s="13" t="s">
        <v>213</v>
      </c>
      <c r="G31" s="13"/>
      <c r="H31" s="13" t="s">
        <v>58</v>
      </c>
      <c r="I31" s="12" t="s">
        <v>214</v>
      </c>
      <c r="J31" s="12" t="s">
        <v>71</v>
      </c>
      <c r="K31" s="11" t="s">
        <v>25</v>
      </c>
      <c r="L31" s="13" t="s">
        <v>346</v>
      </c>
      <c r="M31" s="13" t="s">
        <v>215</v>
      </c>
      <c r="N31" s="13"/>
      <c r="O31" s="13"/>
      <c r="P31" s="13"/>
      <c r="Q31"/>
    </row>
    <row r="32" spans="1:17" ht="156" customHeight="1">
      <c r="A32" s="4">
        <v>31</v>
      </c>
      <c r="B32" s="5" t="s">
        <v>217</v>
      </c>
      <c r="C32" s="6" t="s">
        <v>46</v>
      </c>
      <c r="D32" s="6" t="s">
        <v>46</v>
      </c>
      <c r="E32" s="5" t="s">
        <v>218</v>
      </c>
      <c r="F32" s="5" t="s">
        <v>219</v>
      </c>
      <c r="G32" s="5"/>
      <c r="H32" s="5" t="s">
        <v>220</v>
      </c>
      <c r="I32" s="45" t="s">
        <v>152</v>
      </c>
      <c r="J32" s="8" t="s">
        <v>221</v>
      </c>
      <c r="K32" s="6" t="s">
        <v>87</v>
      </c>
      <c r="L32" s="5" t="s">
        <v>87</v>
      </c>
      <c r="M32" s="5" t="s">
        <v>222</v>
      </c>
      <c r="N32" s="7"/>
      <c r="O32" s="7"/>
      <c r="P32" s="7"/>
      <c r="Q32"/>
    </row>
    <row r="33" spans="1:17" ht="27.75" customHeight="1">
      <c r="A33" s="9">
        <v>32</v>
      </c>
      <c r="B33" s="13" t="s">
        <v>223</v>
      </c>
      <c r="C33" s="11" t="s">
        <v>18</v>
      </c>
      <c r="D33" s="11" t="s">
        <v>18</v>
      </c>
      <c r="E33" s="13"/>
      <c r="F33" s="13"/>
      <c r="G33" s="13"/>
      <c r="H33" s="13" t="s">
        <v>159</v>
      </c>
      <c r="I33" s="12" t="s">
        <v>224</v>
      </c>
      <c r="J33" s="12"/>
      <c r="K33" s="11" t="s">
        <v>87</v>
      </c>
      <c r="L33" s="13"/>
      <c r="M33" s="13"/>
      <c r="N33" s="13" t="s">
        <v>225</v>
      </c>
      <c r="O33" s="13"/>
      <c r="P33" s="13"/>
      <c r="Q33"/>
    </row>
    <row r="34" spans="1:17" ht="72">
      <c r="A34" s="4">
        <v>33</v>
      </c>
      <c r="B34" s="7" t="s">
        <v>226</v>
      </c>
      <c r="C34" s="6" t="s">
        <v>46</v>
      </c>
      <c r="D34" s="6" t="s">
        <v>46</v>
      </c>
      <c r="E34" s="5" t="s">
        <v>227</v>
      </c>
      <c r="F34" s="7" t="s">
        <v>228</v>
      </c>
      <c r="G34" s="7"/>
      <c r="H34" s="7" t="s">
        <v>229</v>
      </c>
      <c r="I34" s="8" t="s">
        <v>230</v>
      </c>
      <c r="J34" s="45" t="s">
        <v>221</v>
      </c>
      <c r="K34" s="6" t="s">
        <v>87</v>
      </c>
      <c r="L34" s="5" t="s">
        <v>322</v>
      </c>
      <c r="M34" s="5" t="s">
        <v>232</v>
      </c>
      <c r="N34" s="5" t="s">
        <v>233</v>
      </c>
      <c r="O34" s="5"/>
      <c r="P34" s="5"/>
      <c r="Q34"/>
    </row>
    <row r="35" spans="1:17" ht="27.75" customHeight="1">
      <c r="A35" s="9">
        <v>34</v>
      </c>
      <c r="B35" s="10" t="s">
        <v>234</v>
      </c>
      <c r="C35" s="11" t="s">
        <v>46</v>
      </c>
      <c r="D35" s="11" t="s">
        <v>46</v>
      </c>
      <c r="E35" s="10" t="s">
        <v>235</v>
      </c>
      <c r="F35" s="13"/>
      <c r="G35" s="13"/>
      <c r="H35" s="10" t="s">
        <v>236</v>
      </c>
      <c r="I35" s="12" t="s">
        <v>33</v>
      </c>
      <c r="J35" s="12"/>
      <c r="K35" s="11" t="s">
        <v>87</v>
      </c>
      <c r="L35" s="13"/>
      <c r="M35" s="13"/>
      <c r="N35" s="13"/>
      <c r="O35" s="13"/>
      <c r="P35" s="13"/>
      <c r="Q35"/>
    </row>
    <row r="36" spans="1:17" ht="54.75" customHeight="1">
      <c r="A36" s="4">
        <v>35</v>
      </c>
      <c r="B36" s="5" t="s">
        <v>237</v>
      </c>
      <c r="C36" s="6" t="s">
        <v>18</v>
      </c>
      <c r="D36" s="6" t="s">
        <v>18</v>
      </c>
      <c r="E36" s="5" t="s">
        <v>238</v>
      </c>
      <c r="F36" s="5" t="s">
        <v>239</v>
      </c>
      <c r="G36" s="5"/>
      <c r="H36" s="5" t="s">
        <v>240</v>
      </c>
      <c r="I36" s="8" t="s">
        <v>135</v>
      </c>
      <c r="J36" s="8"/>
      <c r="K36" s="6" t="s">
        <v>87</v>
      </c>
      <c r="L36" s="7"/>
      <c r="M36" s="7"/>
      <c r="N36" s="5" t="s">
        <v>241</v>
      </c>
      <c r="O36" s="5"/>
      <c r="P36" s="5"/>
      <c r="Q36"/>
    </row>
    <row r="37" spans="1:17" ht="96">
      <c r="A37" s="9">
        <v>36</v>
      </c>
      <c r="B37" s="10" t="s">
        <v>242</v>
      </c>
      <c r="C37" s="11" t="s">
        <v>17</v>
      </c>
      <c r="D37" s="11" t="s">
        <v>46</v>
      </c>
      <c r="E37" s="10" t="s">
        <v>243</v>
      </c>
      <c r="F37" s="10" t="s">
        <v>244</v>
      </c>
      <c r="G37" s="10"/>
      <c r="H37" s="10" t="s">
        <v>245</v>
      </c>
      <c r="I37" s="12" t="s">
        <v>34</v>
      </c>
      <c r="J37" s="12"/>
      <c r="K37" s="11" t="s">
        <v>87</v>
      </c>
      <c r="L37" s="10"/>
      <c r="M37" s="10" t="s">
        <v>246</v>
      </c>
      <c r="N37" s="13" t="s">
        <v>247</v>
      </c>
      <c r="O37" s="13"/>
      <c r="P37" s="13"/>
      <c r="Q37"/>
    </row>
    <row r="38" spans="1:17" ht="93" customHeight="1">
      <c r="A38" s="4">
        <v>37</v>
      </c>
      <c r="B38" s="5" t="s">
        <v>255</v>
      </c>
      <c r="C38" s="6" t="s">
        <v>17</v>
      </c>
      <c r="D38" s="6" t="s">
        <v>17</v>
      </c>
      <c r="E38" s="5" t="s">
        <v>252</v>
      </c>
      <c r="F38" s="5" t="s">
        <v>347</v>
      </c>
      <c r="G38" s="5"/>
      <c r="H38" s="5" t="s">
        <v>245</v>
      </c>
      <c r="I38" s="8" t="s">
        <v>94</v>
      </c>
      <c r="J38" s="45" t="s">
        <v>221</v>
      </c>
      <c r="K38" s="6" t="s">
        <v>87</v>
      </c>
      <c r="L38" s="5" t="s">
        <v>348</v>
      </c>
      <c r="M38" s="5" t="s">
        <v>349</v>
      </c>
      <c r="N38" s="7" t="s">
        <v>259</v>
      </c>
      <c r="O38" s="7"/>
      <c r="P38" s="7"/>
      <c r="Q38"/>
    </row>
    <row r="39" spans="1:17" ht="18" customHeight="1">
      <c r="A39" s="14" t="s">
        <v>266</v>
      </c>
      <c r="B39" s="15"/>
      <c r="C39" s="15"/>
      <c r="D39" s="15"/>
      <c r="E39" s="15"/>
      <c r="F39" s="15"/>
      <c r="G39" s="15"/>
      <c r="H39" s="15"/>
      <c r="I39" s="15"/>
      <c r="J39" s="15"/>
      <c r="K39" s="15"/>
      <c r="L39" s="15"/>
      <c r="M39" s="15"/>
      <c r="N39" s="15"/>
      <c r="O39" s="15"/>
      <c r="P39" s="15"/>
      <c r="Q39"/>
    </row>
    <row r="40" spans="1:17" ht="27.75" customHeight="1">
      <c r="A40" s="4">
        <v>39</v>
      </c>
      <c r="B40" s="5" t="s">
        <v>350</v>
      </c>
      <c r="C40" s="6" t="s">
        <v>18</v>
      </c>
      <c r="D40" s="6" t="s">
        <v>18</v>
      </c>
      <c r="E40" s="7" t="s">
        <v>268</v>
      </c>
      <c r="F40" s="7"/>
      <c r="G40" s="7"/>
      <c r="H40" s="7"/>
      <c r="I40" s="45" t="s">
        <v>269</v>
      </c>
      <c r="J40" s="45" t="s">
        <v>269</v>
      </c>
      <c r="K40" s="6" t="s">
        <v>25</v>
      </c>
      <c r="L40" s="7"/>
      <c r="M40" s="7"/>
      <c r="N40" s="7"/>
      <c r="O40" s="7"/>
      <c r="P40" s="7"/>
      <c r="Q40"/>
    </row>
    <row r="41" spans="1:17" ht="36">
      <c r="A41" s="9">
        <v>40</v>
      </c>
      <c r="B41" s="13" t="s">
        <v>271</v>
      </c>
      <c r="C41" s="11" t="s">
        <v>18</v>
      </c>
      <c r="D41" s="11" t="s">
        <v>46</v>
      </c>
      <c r="E41" s="13" t="s">
        <v>272</v>
      </c>
      <c r="F41" s="13" t="s">
        <v>273</v>
      </c>
      <c r="G41" s="13"/>
      <c r="H41" s="13" t="s">
        <v>274</v>
      </c>
      <c r="I41" s="44" t="s">
        <v>269</v>
      </c>
      <c r="J41" s="44" t="s">
        <v>269</v>
      </c>
      <c r="K41" s="11" t="s">
        <v>25</v>
      </c>
      <c r="L41" s="10"/>
      <c r="M41" s="10" t="s">
        <v>275</v>
      </c>
      <c r="N41" s="13"/>
      <c r="O41" s="13"/>
      <c r="P41" s="13"/>
      <c r="Q41"/>
    </row>
    <row r="42" spans="1:17" ht="136.5" customHeight="1">
      <c r="A42" s="4">
        <v>41</v>
      </c>
      <c r="B42" s="5" t="s">
        <v>276</v>
      </c>
      <c r="C42" s="6" t="s">
        <v>46</v>
      </c>
      <c r="D42" s="6" t="s">
        <v>46</v>
      </c>
      <c r="E42" s="5" t="s">
        <v>277</v>
      </c>
      <c r="F42" s="7"/>
      <c r="G42" s="7"/>
      <c r="H42" s="7"/>
      <c r="I42" s="45" t="s">
        <v>269</v>
      </c>
      <c r="J42" s="45" t="s">
        <v>269</v>
      </c>
      <c r="K42" s="6" t="s">
        <v>187</v>
      </c>
      <c r="L42" s="5"/>
      <c r="M42" s="5" t="s">
        <v>278</v>
      </c>
      <c r="N42" s="7"/>
      <c r="O42" s="7"/>
      <c r="P42" s="7"/>
      <c r="Q42"/>
    </row>
    <row r="43" spans="1:17" ht="60">
      <c r="A43" s="9">
        <v>42</v>
      </c>
      <c r="B43" s="10" t="s">
        <v>279</v>
      </c>
      <c r="C43" s="11" t="s">
        <v>46</v>
      </c>
      <c r="D43" s="11" t="s">
        <v>46</v>
      </c>
      <c r="E43" s="10" t="s">
        <v>280</v>
      </c>
      <c r="F43" s="10" t="s">
        <v>281</v>
      </c>
      <c r="G43" s="10"/>
      <c r="H43" s="10" t="s">
        <v>282</v>
      </c>
      <c r="I43" s="44" t="s">
        <v>283</v>
      </c>
      <c r="J43" s="44" t="s">
        <v>283</v>
      </c>
      <c r="K43" s="11" t="s">
        <v>87</v>
      </c>
      <c r="L43" s="10"/>
      <c r="M43" s="10" t="s">
        <v>284</v>
      </c>
      <c r="N43" s="13"/>
      <c r="O43" s="13"/>
      <c r="P43" s="13"/>
      <c r="Q43"/>
    </row>
    <row r="44" spans="1:17" ht="36">
      <c r="A44" s="4">
        <v>43</v>
      </c>
      <c r="B44" s="5" t="s">
        <v>285</v>
      </c>
      <c r="C44" s="6" t="s">
        <v>18</v>
      </c>
      <c r="D44" s="6" t="s">
        <v>18</v>
      </c>
      <c r="E44" s="5" t="s">
        <v>286</v>
      </c>
      <c r="F44" s="5" t="s">
        <v>287</v>
      </c>
      <c r="G44" s="5"/>
      <c r="H44" s="5" t="s">
        <v>288</v>
      </c>
      <c r="I44" s="8" t="s">
        <v>41</v>
      </c>
      <c r="J44" s="8" t="s">
        <v>41</v>
      </c>
      <c r="K44" s="6" t="s">
        <v>187</v>
      </c>
      <c r="L44" s="5"/>
      <c r="M44" s="5" t="s">
        <v>289</v>
      </c>
      <c r="N44" s="7"/>
      <c r="O44" s="7"/>
      <c r="P44" s="7"/>
      <c r="Q44"/>
    </row>
    <row r="45" spans="1:17" ht="15" customHeight="1">
      <c r="Q45"/>
    </row>
    <row r="46" spans="1:17" ht="15" customHeight="1">
      <c r="Q46"/>
    </row>
    <row r="47" spans="1:17" ht="15" customHeight="1">
      <c r="Q47"/>
    </row>
    <row r="48" spans="1:17" ht="20.25">
      <c r="A48" s="16" t="s">
        <v>290</v>
      </c>
    </row>
    <row r="49" spans="2:12" ht="15" customHeight="1">
      <c r="B49" s="17" t="s">
        <v>291</v>
      </c>
    </row>
    <row r="51" spans="2:12" ht="15" customHeight="1">
      <c r="B51" s="18" t="s">
        <v>292</v>
      </c>
      <c r="C51" s="18" t="s">
        <v>293</v>
      </c>
      <c r="D51" s="18" t="s">
        <v>25</v>
      </c>
      <c r="E51" s="18" t="s">
        <v>129</v>
      </c>
      <c r="F51" s="18" t="s">
        <v>208</v>
      </c>
      <c r="G51" s="18"/>
      <c r="H51" s="18" t="s">
        <v>87</v>
      </c>
      <c r="I51" s="18" t="s">
        <v>187</v>
      </c>
      <c r="J51" s="18" t="s">
        <v>187</v>
      </c>
      <c r="K51" s="18" t="s">
        <v>294</v>
      </c>
      <c r="L51" s="18" t="s">
        <v>295</v>
      </c>
    </row>
    <row r="52" spans="2:12" ht="15" customHeight="1">
      <c r="B52" s="19" t="s">
        <v>296</v>
      </c>
      <c r="C52" s="19">
        <f>COUNTIF(CX進捗0316!$I:$I,"*鈴木佑*")</f>
        <v>4</v>
      </c>
      <c r="D52" s="20">
        <f t="shared" ref="D52:F57" si="0">COUNTIFS($I$1:$I$46,"*"&amp;$B52&amp;"*",$K$1:$K$46,D$51)</f>
        <v>0</v>
      </c>
      <c r="E52" s="21">
        <f t="shared" si="0"/>
        <v>0</v>
      </c>
      <c r="F52" s="22">
        <f t="shared" si="0"/>
        <v>1</v>
      </c>
      <c r="G52" s="22"/>
      <c r="H52" s="23">
        <f t="shared" ref="H52:L57" si="1">COUNTIFS($I$1:$I$46,"*"&amp;$B52&amp;"*",$K$1:$K$46,H$51)</f>
        <v>2</v>
      </c>
      <c r="I52" s="24">
        <f t="shared" si="1"/>
        <v>1</v>
      </c>
      <c r="J52" s="24">
        <f t="shared" si="1"/>
        <v>1</v>
      </c>
      <c r="K52" s="25">
        <f t="shared" si="1"/>
        <v>0</v>
      </c>
      <c r="L52" s="26">
        <f t="shared" si="1"/>
        <v>0</v>
      </c>
    </row>
    <row r="53" spans="2:12" ht="15" customHeight="1">
      <c r="B53" s="27" t="s">
        <v>180</v>
      </c>
      <c r="C53" s="27">
        <f>COUNTIF(CX進捗0316!$I:$I,"*齋藤*")</f>
        <v>8</v>
      </c>
      <c r="D53" s="20">
        <f t="shared" si="0"/>
        <v>3</v>
      </c>
      <c r="E53" s="21">
        <f t="shared" si="0"/>
        <v>0</v>
      </c>
      <c r="F53" s="22">
        <f t="shared" si="0"/>
        <v>1</v>
      </c>
      <c r="G53" s="22"/>
      <c r="H53" s="23">
        <f t="shared" si="1"/>
        <v>3</v>
      </c>
      <c r="I53" s="24">
        <f t="shared" si="1"/>
        <v>1</v>
      </c>
      <c r="J53" s="24">
        <f t="shared" si="1"/>
        <v>1</v>
      </c>
      <c r="K53" s="25">
        <f t="shared" si="1"/>
        <v>0</v>
      </c>
      <c r="L53" s="26">
        <f t="shared" si="1"/>
        <v>0</v>
      </c>
    </row>
    <row r="54" spans="2:12" ht="15" customHeight="1">
      <c r="B54" s="19" t="s">
        <v>41</v>
      </c>
      <c r="C54" s="19">
        <f>COUNTIF(CX進捗0316!$I:$I,"*鈴木孝*")</f>
        <v>15</v>
      </c>
      <c r="D54" s="20">
        <f t="shared" si="0"/>
        <v>10</v>
      </c>
      <c r="E54" s="21">
        <f t="shared" si="0"/>
        <v>0</v>
      </c>
      <c r="F54" s="22">
        <f t="shared" si="0"/>
        <v>0</v>
      </c>
      <c r="G54" s="22"/>
      <c r="H54" s="23">
        <f t="shared" si="1"/>
        <v>4</v>
      </c>
      <c r="I54" s="24">
        <f t="shared" si="1"/>
        <v>1</v>
      </c>
      <c r="J54" s="24">
        <f t="shared" si="1"/>
        <v>1</v>
      </c>
      <c r="K54" s="25">
        <f t="shared" si="1"/>
        <v>0</v>
      </c>
      <c r="L54" s="26">
        <f t="shared" si="1"/>
        <v>0</v>
      </c>
    </row>
    <row r="55" spans="2:12" ht="15" customHeight="1">
      <c r="B55" s="27" t="s">
        <v>34</v>
      </c>
      <c r="C55" s="27">
        <f>COUNTIF(CX進捗0316!$I:$I,"*横井*")</f>
        <v>18</v>
      </c>
      <c r="D55" s="20">
        <f t="shared" si="0"/>
        <v>8</v>
      </c>
      <c r="E55" s="21">
        <f t="shared" si="0"/>
        <v>0</v>
      </c>
      <c r="F55" s="22">
        <f t="shared" si="0"/>
        <v>0</v>
      </c>
      <c r="G55" s="22"/>
      <c r="H55" s="23">
        <f t="shared" si="1"/>
        <v>8</v>
      </c>
      <c r="I55" s="24">
        <f t="shared" si="1"/>
        <v>2</v>
      </c>
      <c r="J55" s="24">
        <f t="shared" si="1"/>
        <v>2</v>
      </c>
      <c r="K55" s="25">
        <f t="shared" si="1"/>
        <v>0</v>
      </c>
      <c r="L55" s="26">
        <f t="shared" si="1"/>
        <v>0</v>
      </c>
    </row>
    <row r="56" spans="2:12" ht="15" customHeight="1">
      <c r="B56" s="19" t="s">
        <v>297</v>
      </c>
      <c r="C56" s="19">
        <f>COUNTIF(CX進捗0316!$I:$I,"*足立*")</f>
        <v>12</v>
      </c>
      <c r="D56" s="20">
        <f t="shared" si="0"/>
        <v>7</v>
      </c>
      <c r="E56" s="21">
        <f t="shared" si="0"/>
        <v>0</v>
      </c>
      <c r="F56" s="22">
        <f t="shared" si="0"/>
        <v>0</v>
      </c>
      <c r="G56" s="22"/>
      <c r="H56" s="23">
        <f t="shared" si="1"/>
        <v>5</v>
      </c>
      <c r="I56" s="24">
        <f t="shared" si="1"/>
        <v>0</v>
      </c>
      <c r="J56" s="24">
        <f t="shared" si="1"/>
        <v>0</v>
      </c>
      <c r="K56" s="25">
        <f t="shared" si="1"/>
        <v>0</v>
      </c>
      <c r="L56" s="26">
        <f t="shared" si="1"/>
        <v>0</v>
      </c>
    </row>
    <row r="57" spans="2:12" ht="15" customHeight="1">
      <c r="B57" s="27" t="s">
        <v>71</v>
      </c>
      <c r="C57" s="27">
        <f>COUNTIF(CX進捗0316!$I:$I,"*石川*")</f>
        <v>12</v>
      </c>
      <c r="D57" s="20">
        <f t="shared" si="0"/>
        <v>6</v>
      </c>
      <c r="E57" s="21">
        <f t="shared" si="0"/>
        <v>1</v>
      </c>
      <c r="F57" s="22">
        <f t="shared" si="0"/>
        <v>0</v>
      </c>
      <c r="G57" s="22"/>
      <c r="H57" s="23">
        <f t="shared" si="1"/>
        <v>5</v>
      </c>
      <c r="I57" s="24">
        <f t="shared" si="1"/>
        <v>0</v>
      </c>
      <c r="J57" s="24">
        <f t="shared" si="1"/>
        <v>0</v>
      </c>
      <c r="K57" s="25">
        <f t="shared" si="1"/>
        <v>0</v>
      </c>
      <c r="L57" s="26">
        <f t="shared" si="1"/>
        <v>0</v>
      </c>
    </row>
    <row r="58" spans="2:12" ht="15" customHeight="1">
      <c r="B58" s="18" t="s">
        <v>298</v>
      </c>
      <c r="C58" s="18">
        <f t="shared" ref="C58:L58" si="2">SUM(C52:C57)</f>
        <v>69</v>
      </c>
      <c r="D58" s="18">
        <f t="shared" si="2"/>
        <v>34</v>
      </c>
      <c r="E58" s="18">
        <f t="shared" si="2"/>
        <v>1</v>
      </c>
      <c r="F58" s="18">
        <f t="shared" si="2"/>
        <v>2</v>
      </c>
      <c r="G58" s="18"/>
      <c r="H58" s="18">
        <f>SUM(H52:H57)</f>
        <v>27</v>
      </c>
      <c r="I58" s="18">
        <f>SUM(I52:I57)</f>
        <v>5</v>
      </c>
      <c r="J58" s="18">
        <f t="shared" ref="J58" si="3">SUM(J52:J57)</f>
        <v>5</v>
      </c>
      <c r="K58" s="18">
        <f t="shared" si="2"/>
        <v>0</v>
      </c>
      <c r="L58" s="18">
        <f t="shared" si="2"/>
        <v>0</v>
      </c>
    </row>
    <row r="61" spans="2:12" ht="15" customHeight="1">
      <c r="B61" s="28" t="s">
        <v>299</v>
      </c>
      <c r="D61" s="28" t="s">
        <v>300</v>
      </c>
    </row>
    <row r="62" spans="2:12" ht="15" customHeight="1">
      <c r="B62" s="29" t="s">
        <v>25</v>
      </c>
      <c r="D62" s="30" t="s">
        <v>17</v>
      </c>
    </row>
    <row r="63" spans="2:12" ht="15" customHeight="1">
      <c r="B63" s="31" t="s">
        <v>295</v>
      </c>
      <c r="D63" s="32" t="s">
        <v>18</v>
      </c>
    </row>
    <row r="64" spans="2:12" ht="15" customHeight="1">
      <c r="B64" s="33" t="s">
        <v>294</v>
      </c>
      <c r="D64" s="34" t="s">
        <v>46</v>
      </c>
    </row>
    <row r="65" spans="2:2" ht="15" customHeight="1">
      <c r="B65" s="35" t="s">
        <v>87</v>
      </c>
    </row>
    <row r="66" spans="2:2" ht="15" customHeight="1">
      <c r="B66" s="36" t="s">
        <v>187</v>
      </c>
    </row>
    <row r="67" spans="2:2" ht="15" customHeight="1">
      <c r="B67" s="37" t="s">
        <v>129</v>
      </c>
    </row>
    <row r="68" spans="2:2" ht="15" customHeight="1">
      <c r="B68" s="38" t="s">
        <v>208</v>
      </c>
    </row>
  </sheetData>
  <autoFilter ref="A1:O44" xr:uid="{00000000-0009-0000-0000-000000000000}"/>
  <phoneticPr fontId="15"/>
  <conditionalFormatting sqref="C2:C44">
    <cfRule type="expression" dxfId="12" priority="8">
      <formula>$C2="高"</formula>
    </cfRule>
    <cfRule type="expression" dxfId="11" priority="9">
      <formula>$C2="中"</formula>
    </cfRule>
    <cfRule type="expression" dxfId="10" priority="10">
      <formula>$C2="低"</formula>
    </cfRule>
  </conditionalFormatting>
  <conditionalFormatting sqref="D2:D44">
    <cfRule type="expression" dxfId="9" priority="11">
      <formula>$D2="高"</formula>
    </cfRule>
    <cfRule type="expression" dxfId="8" priority="12">
      <formula>$D2="中"</formula>
    </cfRule>
    <cfRule type="expression" dxfId="7" priority="13">
      <formula>$D2="低"</formula>
    </cfRule>
  </conditionalFormatting>
  <conditionalFormatting sqref="K2:K44">
    <cfRule type="expression" dxfId="6" priority="1">
      <formula>$K2="進行中"</formula>
    </cfRule>
    <cfRule type="expression" dxfId="5" priority="2">
      <formula>$K2="遅延"</formula>
    </cfRule>
    <cfRule type="expression" dxfId="4" priority="3">
      <formula>$K2="完了"</formula>
    </cfRule>
    <cfRule type="expression" dxfId="3" priority="4">
      <formula>$K2="未着手"</formula>
    </cfRule>
    <cfRule type="expression" dxfId="2" priority="5">
      <formula>$K2="停止"</formula>
    </cfRule>
    <cfRule type="expression" dxfId="1" priority="6">
      <formula>$K2="着手"</formula>
    </cfRule>
    <cfRule type="expression" dxfId="0" priority="7">
      <formula>$K2="調査中"</formula>
    </cfRule>
  </conditionalFormatting>
  <dataValidations count="2">
    <dataValidation type="list" allowBlank="1" showErrorMessage="1" errorTitle="入力エラー" error="リストから選択してください" sqref="C2:D44" xr:uid="{0575703F-C673-4549-944F-C97064611A64}">
      <formula1>"高,中,低"</formula1>
      <formula2>0</formula2>
    </dataValidation>
    <dataValidation type="list" allowBlank="1" showErrorMessage="1" errorTitle="入力エラー" error="リストから選択してください" sqref="K2:K44" xr:uid="{FE6CA359-BDD9-4813-9861-61466F1C11B1}">
      <formula1>"未着手,進行中,着手,調査中,遅延,停止,完了"</formula1>
      <formula2>0</formula2>
    </dataValidation>
  </dataValidations>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6196176D81E27E459E804DBD4BE56DF8" ma:contentTypeVersion="10" ma:contentTypeDescription="新しいドキュメントを作成します。" ma:contentTypeScope="" ma:versionID="5ae4f68d6b2fb5ea3e2f0622e11c2e92">
  <xsd:schema xmlns:xsd="http://www.w3.org/2001/XMLSchema" xmlns:xs="http://www.w3.org/2001/XMLSchema" xmlns:p="http://schemas.microsoft.com/office/2006/metadata/properties" xmlns:ns2="179fe480-ad7f-402c-bc1a-b908a6338dc0" xmlns:ns3="7a77bc40-8324-4d14-8011-9cacdff6f196" targetNamespace="http://schemas.microsoft.com/office/2006/metadata/properties" ma:root="true" ma:fieldsID="4215cf18446623da08bb34f48f381845" ns2:_="" ns3:_="">
    <xsd:import namespace="179fe480-ad7f-402c-bc1a-b908a6338dc0"/>
    <xsd:import namespace="7a77bc40-8324-4d14-8011-9cacdff6f19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79fe480-ad7f-402c-bc1a-b908a6338dc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1e34ec3-03ef-4171-a98c-65ed6d5a6bdc"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a77bc40-8324-4d14-8011-9cacdff6f19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828a19a-446d-467c-a775-e60b70a94db6}" ma:internalName="TaxCatchAll" ma:showField="CatchAllData" ma:web="7a77bc40-8324-4d14-8011-9cacdff6f19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79fe480-ad7f-402c-bc1a-b908a6338dc0">
      <Terms xmlns="http://schemas.microsoft.com/office/infopath/2007/PartnerControls"/>
    </lcf76f155ced4ddcb4097134ff3c332f>
    <TaxCatchAll xmlns="7a77bc40-8324-4d14-8011-9cacdff6f196" xsi:nil="true"/>
  </documentManagement>
</p:properties>
</file>

<file path=customXml/itemProps1.xml><?xml version="1.0" encoding="utf-8"?>
<ds:datastoreItem xmlns:ds="http://schemas.openxmlformats.org/officeDocument/2006/customXml" ds:itemID="{7547A9A1-E9E3-440F-8DC7-1506DD207DC3}"/>
</file>

<file path=customXml/itemProps2.xml><?xml version="1.0" encoding="utf-8"?>
<ds:datastoreItem xmlns:ds="http://schemas.openxmlformats.org/officeDocument/2006/customXml" ds:itemID="{46243ECB-CD6F-4DC0-A416-33B6BB4AFC68}"/>
</file>

<file path=customXml/itemProps3.xml><?xml version="1.0" encoding="utf-8"?>
<ds:datastoreItem xmlns:ds="http://schemas.openxmlformats.org/officeDocument/2006/customXml" ds:itemID="{F8B42C26-5174-4E37-B794-997DC00CF79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鈴木佑哉</dc:creator>
  <cp:keywords/>
  <dc:description/>
  <cp:lastModifiedBy/>
  <cp:revision>0</cp:revision>
  <dcterms:created xsi:type="dcterms:W3CDTF">2025-10-22T08:05:52Z</dcterms:created>
  <dcterms:modified xsi:type="dcterms:W3CDTF">2026-04-04T03:26:08Z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0x0101006196176D81E27E459E804DBD4BE56DF8</vt:lpwstr>
  </property>
  <property fmtid="{D5CDD505-2E9C-101B-9397-08002B2CF9AE}" pid="3" name="MediaServiceImageTags">
    <vt:lpwstr/>
  </property>
</Properties>
</file>